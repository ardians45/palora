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rizqi_\Downloads\"/>
    </mc:Choice>
  </mc:AlternateContent>
  <xr:revisionPtr revIDLastSave="0" documentId="13_ncr:1_{66623629-E31E-4A9C-999E-811B78B07163}" xr6:coauthVersionLast="47" xr6:coauthVersionMax="47" xr10:uidLastSave="{00000000-0000-0000-0000-000000000000}"/>
  <bookViews>
    <workbookView xWindow="-120" yWindow="-120" windowWidth="29040" windowHeight="15720" activeTab="1" xr2:uid="{A5674860-9A6B-466E-847A-29FF6C58F1F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87" i="2" l="1"/>
  <c r="C237" i="2"/>
  <c r="E196" i="2"/>
  <c r="E195" i="2"/>
  <c r="E194" i="2"/>
  <c r="C193" i="2"/>
  <c r="E193" i="2" s="1"/>
  <c r="C192" i="2"/>
  <c r="E192" i="2" s="1"/>
  <c r="C191" i="2"/>
  <c r="E191" i="2" s="1"/>
  <c r="E190" i="2"/>
  <c r="C190" i="2"/>
  <c r="C189" i="2"/>
  <c r="E189" i="2" s="1"/>
  <c r="C169" i="2"/>
  <c r="B163" i="2"/>
  <c r="D163" i="2" s="1"/>
  <c r="B162" i="2"/>
  <c r="D162" i="2" s="1"/>
  <c r="D161" i="2"/>
  <c r="C161" i="2"/>
  <c r="B161" i="2"/>
  <c r="B160" i="2"/>
  <c r="D160" i="2" s="1"/>
  <c r="B159" i="2"/>
  <c r="D159" i="2" s="1"/>
  <c r="D158" i="2"/>
  <c r="C158" i="2"/>
  <c r="D157" i="2"/>
  <c r="C157" i="2"/>
  <c r="D156" i="2"/>
  <c r="D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C114" i="2"/>
  <c r="B114" i="2"/>
  <c r="D114" i="2" s="1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C162" i="2" l="1"/>
  <c r="C159" i="2"/>
  <c r="C163" i="2"/>
  <c r="C160" i="2"/>
  <c r="E571" i="1" l="1"/>
  <c r="E569" i="1"/>
  <c r="E568" i="1"/>
  <c r="E567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C532" i="1"/>
  <c r="E532" i="1" s="1"/>
  <c r="E531" i="1"/>
  <c r="E530" i="1"/>
  <c r="E529" i="1"/>
  <c r="E526" i="1"/>
  <c r="C526" i="1"/>
  <c r="E525" i="1"/>
  <c r="E524" i="1"/>
  <c r="C522" i="1"/>
  <c r="E521" i="1"/>
  <c r="E520" i="1"/>
  <c r="E519" i="1"/>
  <c r="E518" i="1"/>
  <c r="C516" i="1"/>
  <c r="E515" i="1"/>
  <c r="E514" i="1"/>
  <c r="E513" i="1"/>
  <c r="E512" i="1"/>
  <c r="E511" i="1"/>
  <c r="E510" i="1"/>
  <c r="C509" i="1"/>
  <c r="E509" i="1" s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89" i="1"/>
  <c r="E488" i="1"/>
  <c r="E487" i="1"/>
  <c r="E486" i="1"/>
  <c r="E484" i="1"/>
  <c r="E483" i="1"/>
  <c r="E482" i="1"/>
  <c r="E481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3" i="1"/>
  <c r="E352" i="1"/>
  <c r="E351" i="1"/>
  <c r="E350" i="1"/>
  <c r="E349" i="1"/>
  <c r="E348" i="1"/>
  <c r="E347" i="1"/>
  <c r="E338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7" i="1"/>
  <c r="E266" i="1"/>
  <c r="C265" i="1"/>
  <c r="C268" i="1" s="1"/>
  <c r="E264" i="1"/>
  <c r="E263" i="1"/>
  <c r="E262" i="1"/>
  <c r="E261" i="1"/>
  <c r="E260" i="1"/>
  <c r="E259" i="1"/>
  <c r="E258" i="1"/>
  <c r="E255" i="1"/>
  <c r="E254" i="1"/>
  <c r="E253" i="1"/>
  <c r="C252" i="1"/>
  <c r="C256" i="1" s="1"/>
  <c r="E251" i="1"/>
  <c r="E250" i="1"/>
  <c r="E249" i="1"/>
  <c r="E248" i="1"/>
  <c r="E247" i="1"/>
  <c r="E246" i="1"/>
  <c r="C245" i="1"/>
  <c r="C244" i="1"/>
  <c r="C242" i="1"/>
  <c r="E242" i="1" s="1"/>
  <c r="E241" i="1"/>
  <c r="E240" i="1"/>
  <c r="E239" i="1"/>
  <c r="E238" i="1"/>
  <c r="E237" i="1"/>
  <c r="E234" i="1"/>
  <c r="C234" i="1"/>
  <c r="E233" i="1"/>
  <c r="E232" i="1"/>
  <c r="C231" i="1"/>
  <c r="E231" i="1" s="1"/>
  <c r="C230" i="1"/>
  <c r="E230" i="1" s="1"/>
  <c r="E229" i="1"/>
  <c r="C228" i="1"/>
  <c r="E228" i="1" s="1"/>
  <c r="C227" i="1"/>
  <c r="E227" i="1" s="1"/>
  <c r="E226" i="1"/>
  <c r="E225" i="1"/>
  <c r="E224" i="1"/>
  <c r="E223" i="1"/>
  <c r="E222" i="1"/>
  <c r="E221" i="1"/>
  <c r="E220" i="1"/>
  <c r="E219" i="1"/>
  <c r="E218" i="1"/>
  <c r="E217" i="1"/>
  <c r="E216" i="1"/>
  <c r="E213" i="1"/>
  <c r="E212" i="1"/>
  <c r="E211" i="1"/>
  <c r="E210" i="1"/>
  <c r="E209" i="1"/>
  <c r="E208" i="1"/>
  <c r="E207" i="1"/>
  <c r="E206" i="1"/>
  <c r="C205" i="1"/>
  <c r="E205" i="1" s="1"/>
  <c r="E204" i="1"/>
  <c r="E203" i="1"/>
  <c r="E202" i="1"/>
  <c r="E201" i="1"/>
  <c r="E200" i="1"/>
  <c r="E198" i="1"/>
  <c r="C196" i="1"/>
  <c r="E193" i="1"/>
  <c r="E192" i="1"/>
  <c r="E191" i="1"/>
  <c r="E190" i="1"/>
  <c r="E188" i="1"/>
  <c r="E187" i="1"/>
  <c r="C185" i="1"/>
  <c r="E179" i="1"/>
  <c r="C179" i="1"/>
  <c r="E178" i="1"/>
  <c r="E177" i="1"/>
  <c r="E176" i="1"/>
  <c r="E175" i="1"/>
  <c r="C173" i="1"/>
  <c r="E172" i="1"/>
  <c r="E171" i="1"/>
  <c r="E170" i="1"/>
  <c r="E169" i="1"/>
  <c r="C168" i="1"/>
  <c r="E167" i="1"/>
  <c r="E166" i="1"/>
  <c r="E165" i="1"/>
  <c r="E164" i="1"/>
  <c r="C163" i="1"/>
  <c r="E162" i="1"/>
  <c r="E161" i="1"/>
  <c r="E160" i="1"/>
  <c r="E159" i="1"/>
  <c r="E158" i="1"/>
  <c r="E157" i="1"/>
  <c r="E156" i="1"/>
  <c r="E155" i="1"/>
  <c r="C155" i="1"/>
  <c r="E154" i="1"/>
  <c r="F153" i="1"/>
  <c r="E153" i="1"/>
  <c r="E152" i="1"/>
  <c r="E151" i="1"/>
  <c r="F150" i="1"/>
  <c r="E150" i="1"/>
  <c r="F149" i="1"/>
  <c r="E149" i="1"/>
  <c r="E148" i="1"/>
  <c r="E147" i="1"/>
  <c r="E146" i="1"/>
  <c r="C145" i="1"/>
  <c r="E145" i="1" s="1"/>
  <c r="E144" i="1"/>
  <c r="E143" i="1"/>
  <c r="E142" i="1"/>
  <c r="E141" i="1"/>
  <c r="E140" i="1"/>
  <c r="C134" i="1"/>
  <c r="E133" i="1"/>
  <c r="E132" i="1"/>
  <c r="E131" i="1"/>
  <c r="E130" i="1"/>
  <c r="C129" i="1"/>
  <c r="E129" i="1" s="1"/>
  <c r="E128" i="1"/>
  <c r="E127" i="1"/>
  <c r="E126" i="1"/>
  <c r="C125" i="1"/>
  <c r="E125" i="1" s="1"/>
  <c r="E124" i="1"/>
  <c r="E123" i="1"/>
  <c r="E122" i="1"/>
  <c r="E121" i="1"/>
  <c r="E120" i="1"/>
  <c r="E119" i="1"/>
  <c r="C118" i="1"/>
  <c r="E115" i="1"/>
  <c r="E114" i="1"/>
  <c r="C113" i="1"/>
  <c r="E106" i="1"/>
  <c r="C105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C47" i="1"/>
  <c r="E47" i="1" s="1"/>
  <c r="E46" i="1"/>
  <c r="C44" i="1"/>
  <c r="E43" i="1"/>
  <c r="E42" i="1"/>
  <c r="E41" i="1"/>
  <c r="E40" i="1"/>
  <c r="C34" i="1"/>
  <c r="E24" i="1"/>
  <c r="C23" i="1"/>
  <c r="C25" i="1" s="1"/>
  <c r="E22" i="1"/>
  <c r="E21" i="1"/>
  <c r="F19" i="1"/>
  <c r="C19" i="1"/>
  <c r="E19" i="1" s="1"/>
  <c r="E18" i="1"/>
  <c r="E17" i="1"/>
  <c r="E16" i="1"/>
  <c r="E15" i="1"/>
  <c r="E14" i="1"/>
  <c r="E13" i="1"/>
  <c r="E12" i="1"/>
  <c r="E11" i="1"/>
  <c r="C10" i="1"/>
  <c r="E10" i="1" s="1"/>
  <c r="E9" i="1"/>
  <c r="E8" i="1"/>
  <c r="E7" i="1"/>
  <c r="E6" i="1"/>
  <c r="F25" i="1" l="1"/>
  <c r="E25" i="1"/>
  <c r="E265" i="1"/>
  <c r="E252" i="1"/>
  <c r="E23" i="1"/>
</calcChain>
</file>

<file path=xl/sharedStrings.xml><?xml version="1.0" encoding="utf-8"?>
<sst xmlns="http://schemas.openxmlformats.org/spreadsheetml/2006/main" count="908" uniqueCount="693">
  <si>
    <t>Update  12 April 2025</t>
  </si>
  <si>
    <t>No</t>
  </si>
  <si>
    <t xml:space="preserve">Nama Barang </t>
  </si>
  <si>
    <t>Qty</t>
  </si>
  <si>
    <t>Harga Jual</t>
  </si>
  <si>
    <t>Total</t>
  </si>
  <si>
    <t>Palet FUTARI FP 0303</t>
  </si>
  <si>
    <t>Merah</t>
  </si>
  <si>
    <t>Hijau</t>
  </si>
  <si>
    <t>light Biru</t>
  </si>
  <si>
    <t>Coklat</t>
  </si>
  <si>
    <t>Orange</t>
  </si>
  <si>
    <t>Grey</t>
  </si>
  <si>
    <t>Dark Grey</t>
  </si>
  <si>
    <t>Light Grey</t>
  </si>
  <si>
    <t>Dark Blue</t>
  </si>
  <si>
    <t>Dark Red</t>
  </si>
  <si>
    <t>Chilli Red</t>
  </si>
  <si>
    <t>Kuning</t>
  </si>
  <si>
    <t>putih</t>
  </si>
  <si>
    <t>Palet FUTARI FLAT</t>
  </si>
  <si>
    <t xml:space="preserve">Biru  </t>
  </si>
  <si>
    <t>100 pcs pesanan</t>
  </si>
  <si>
    <t>Part Case Futari Small</t>
  </si>
  <si>
    <t>Pink</t>
  </si>
  <si>
    <t>Biru</t>
  </si>
  <si>
    <t>Ungu</t>
  </si>
  <si>
    <t>stick hitam</t>
  </si>
  <si>
    <t>stick cream</t>
  </si>
  <si>
    <t>Keranjang solid Futari 481</t>
  </si>
  <si>
    <t>Putih</t>
  </si>
  <si>
    <t>Lure Box</t>
  </si>
  <si>
    <t>L - 65</t>
  </si>
  <si>
    <t>L - 85</t>
  </si>
  <si>
    <t>L - 105</t>
  </si>
  <si>
    <t>L - 145</t>
  </si>
  <si>
    <t>L - 165</t>
  </si>
  <si>
    <t>LB - S</t>
  </si>
  <si>
    <t>LB - M</t>
  </si>
  <si>
    <t>LB - L</t>
  </si>
  <si>
    <t xml:space="preserve">Tackle Box </t>
  </si>
  <si>
    <t>SS - 150</t>
  </si>
  <si>
    <t>SS - 270 ( met blue )</t>
  </si>
  <si>
    <t>SS - 270 ( Dark green )</t>
  </si>
  <si>
    <t>SS - 270 ( 2 color blue )</t>
  </si>
  <si>
    <t>SS - 270 ( yellow )</t>
  </si>
  <si>
    <t>SS - 270 ( met red )</t>
  </si>
  <si>
    <t>SS - 270 ( blue )</t>
  </si>
  <si>
    <t>SS - 270 ( pink)</t>
  </si>
  <si>
    <t>SS - 270 ( red )</t>
  </si>
  <si>
    <t>SS - 280</t>
  </si>
  <si>
    <t>SS - 400 Clear</t>
  </si>
  <si>
    <t>SS - 400 Blue</t>
  </si>
  <si>
    <t>SS - 400 Yellow</t>
  </si>
  <si>
    <t>SS - 400 Orange</t>
  </si>
  <si>
    <t>SS - 450 Clear</t>
  </si>
  <si>
    <t>SS - 450 Orange</t>
  </si>
  <si>
    <t>SS - 450 Green</t>
  </si>
  <si>
    <t>SS - 450 Yellow</t>
  </si>
  <si>
    <t>SS - 450 Red</t>
  </si>
  <si>
    <t>SS - 650 Clear</t>
  </si>
  <si>
    <t>SS - 650 Orange</t>
  </si>
  <si>
    <t>SS - 800 Clear</t>
  </si>
  <si>
    <t>SS - 800 Green</t>
  </si>
  <si>
    <t>SS - 800 Grey Trans</t>
  </si>
  <si>
    <t>SS - 800 Red</t>
  </si>
  <si>
    <t>SS - 800 Orange</t>
  </si>
  <si>
    <t>SS - 900</t>
  </si>
  <si>
    <t>DS - 1500 Clear</t>
  </si>
  <si>
    <t>SS - 1500 Grey Trans</t>
  </si>
  <si>
    <t>SS - 1500 Yellow</t>
  </si>
  <si>
    <t>SS - 1500 Orange</t>
  </si>
  <si>
    <t>SS - 2200 Clear</t>
  </si>
  <si>
    <t>SS - 2200 Orange</t>
  </si>
  <si>
    <t>SS - 2200 Yellow</t>
  </si>
  <si>
    <t>DS - 3000</t>
  </si>
  <si>
    <t>TB - 3700 Red</t>
  </si>
  <si>
    <t>TB - 3700 Blue</t>
  </si>
  <si>
    <t>TB - 3700 Clear</t>
  </si>
  <si>
    <t>TB - 4700 (DL 700) Black Transp</t>
  </si>
  <si>
    <t>TB - 3007 red</t>
  </si>
  <si>
    <t>TB - 3007 Yellow</t>
  </si>
  <si>
    <t>TB - 3007 biru</t>
  </si>
  <si>
    <t>TB - 3007 hitam</t>
  </si>
  <si>
    <t>Tackle Box MT - 100</t>
  </si>
  <si>
    <t>kuning</t>
  </si>
  <si>
    <t>merah</t>
  </si>
  <si>
    <t>Tackle Box MT - 200</t>
  </si>
  <si>
    <t>biru metalik</t>
  </si>
  <si>
    <t>Orange dk grey</t>
  </si>
  <si>
    <t>merah metalik</t>
  </si>
  <si>
    <t>Tackle Box MT - 300</t>
  </si>
  <si>
    <t>Orange/ Dk Grey</t>
  </si>
  <si>
    <t>hijau</t>
  </si>
  <si>
    <t>Part Case Small</t>
  </si>
  <si>
    <t>Part Case MEDIUM</t>
  </si>
  <si>
    <t>Part Case BESAR</t>
  </si>
  <si>
    <t>Stick Partcase small</t>
  </si>
  <si>
    <t>Stick Partcase medium</t>
  </si>
  <si>
    <t>Stick Partcase Large</t>
  </si>
  <si>
    <t>Folding Container ( Medium )</t>
  </si>
  <si>
    <t>Green</t>
  </si>
  <si>
    <t>Lunch Box Victory</t>
  </si>
  <si>
    <t>Peach</t>
  </si>
  <si>
    <t>Lunch Box Melva</t>
  </si>
  <si>
    <t>Orange trendy</t>
  </si>
  <si>
    <t xml:space="preserve">Hijau  </t>
  </si>
  <si>
    <t>Blue</t>
  </si>
  <si>
    <t>Violet</t>
  </si>
  <si>
    <t>Magenta</t>
  </si>
  <si>
    <t>biru bulat</t>
  </si>
  <si>
    <t>hijau bulat</t>
  </si>
  <si>
    <t>orange bulat</t>
  </si>
  <si>
    <t>Tutup TMM</t>
  </si>
  <si>
    <t xml:space="preserve">Lunch Box Harper </t>
  </si>
  <si>
    <t>Lunch Box Tori</t>
  </si>
  <si>
    <t>Rantang Sasha</t>
  </si>
  <si>
    <t>Lotus 100</t>
  </si>
  <si>
    <t xml:space="preserve">hijau </t>
  </si>
  <si>
    <t>Keranjang Belanja</t>
  </si>
  <si>
    <t>biru 2, hijau 2, merah 3</t>
  </si>
  <si>
    <t>Kotak makan Numan</t>
  </si>
  <si>
    <t>Hijau Muda</t>
  </si>
  <si>
    <t>Hijau Tua</t>
  </si>
  <si>
    <t>Biru Tua</t>
  </si>
  <si>
    <t>Biru Muda</t>
  </si>
  <si>
    <t>Krat gelas</t>
  </si>
  <si>
    <t xml:space="preserve">merah </t>
  </si>
  <si>
    <t>Milano</t>
  </si>
  <si>
    <t>biru</t>
  </si>
  <si>
    <t>magenta</t>
  </si>
  <si>
    <t>orange</t>
  </si>
  <si>
    <t>pink</t>
  </si>
  <si>
    <t>sendok Numan,</t>
  </si>
  <si>
    <t>Garpu Numan</t>
  </si>
  <si>
    <t>Kacamata Cross</t>
  </si>
  <si>
    <t>kaca helm clear</t>
  </si>
  <si>
    <t>kaca helm smoke</t>
  </si>
  <si>
    <t>Kotak Makan Victory Kipit</t>
  </si>
  <si>
    <t>TTR10</t>
  </si>
  <si>
    <t>TTR10+Sekat</t>
  </si>
  <si>
    <t>TTR20</t>
  </si>
  <si>
    <t>TTR20+Sekat</t>
  </si>
  <si>
    <t>TTR30</t>
  </si>
  <si>
    <t>TTR30+Sekat</t>
  </si>
  <si>
    <t>TTR40</t>
  </si>
  <si>
    <t>TTR40+Sekat</t>
  </si>
  <si>
    <t>TTR 20 Mix</t>
  </si>
  <si>
    <t>TTR 40 Mix</t>
  </si>
  <si>
    <t>Multi Kip Box 5L Blue</t>
  </si>
  <si>
    <t>Multi Kip Box 5L yellow</t>
  </si>
  <si>
    <t>Multi Kip Box 5L Green</t>
  </si>
  <si>
    <t>Multi Kip Box 5L Pink</t>
  </si>
  <si>
    <t>LPF 810</t>
  </si>
  <si>
    <t>LPC 820</t>
  </si>
  <si>
    <t>LPY 810</t>
  </si>
  <si>
    <t>LPY 820</t>
  </si>
  <si>
    <t>LPY 850</t>
  </si>
  <si>
    <t>Food Box 500</t>
  </si>
  <si>
    <t>Blue/ Clear</t>
  </si>
  <si>
    <t>Red/ Clear</t>
  </si>
  <si>
    <t>Pink/ Clear</t>
  </si>
  <si>
    <t>Peach/ Clear</t>
  </si>
  <si>
    <t>Grey Trans/ Blue</t>
  </si>
  <si>
    <t>Grey Trans/ Green</t>
  </si>
  <si>
    <t>Grey Trans/ Yellow</t>
  </si>
  <si>
    <t>Grey Trans/ Orange</t>
  </si>
  <si>
    <t>Food Box 1000</t>
  </si>
  <si>
    <t>Mak Cook ( Panci )</t>
  </si>
  <si>
    <t>Panci Rubina RN 20</t>
  </si>
  <si>
    <t>Panci Rubina RN 24 ( 3 in 1 )</t>
  </si>
  <si>
    <t>Mak Cook ( Frypan )</t>
  </si>
  <si>
    <t>Rubina RC 18</t>
  </si>
  <si>
    <t>Rubina RC 20</t>
  </si>
  <si>
    <t>Rubina RC 22</t>
  </si>
  <si>
    <t>Rubina RC 24</t>
  </si>
  <si>
    <t>Rubina RC 26</t>
  </si>
  <si>
    <t>Panci susu  non tutup</t>
  </si>
  <si>
    <t>Panci susu + tutup</t>
  </si>
  <si>
    <t>Dandang 24 cm</t>
  </si>
  <si>
    <t>Teko mane S</t>
  </si>
  <si>
    <t>Teko mane L</t>
  </si>
  <si>
    <t>Teko Arab 1 L</t>
  </si>
  <si>
    <t>Teko Arab 2 L</t>
  </si>
  <si>
    <t>Teko Siul 22 cm</t>
  </si>
  <si>
    <t>Teko Siul 24 cm</t>
  </si>
  <si>
    <t>Tempat cuci tangan 20 L</t>
  </si>
  <si>
    <t>biru 5, merah 6</t>
  </si>
  <si>
    <t>Tempat cuci tangan 44 L</t>
  </si>
  <si>
    <t>Gentong 44 L</t>
  </si>
  <si>
    <t>Tempat sampah 5 L</t>
  </si>
  <si>
    <t>biru 49, hijau 59</t>
  </si>
  <si>
    <t>Tempat sampah 15 L</t>
  </si>
  <si>
    <t>biru 6, hijau 6</t>
  </si>
  <si>
    <t>Tempat sampah 20 L</t>
  </si>
  <si>
    <t>biru 3, hijau 4</t>
  </si>
  <si>
    <t>Tempat sampah Bulat</t>
  </si>
  <si>
    <t>keranjang pasar orlando</t>
  </si>
  <si>
    <t>biru 2, merah 8</t>
  </si>
  <si>
    <t>Keranjang pasar miami</t>
  </si>
  <si>
    <t xml:space="preserve">biru </t>
  </si>
  <si>
    <t>Keranjang pasar melodi</t>
  </si>
  <si>
    <t>merah 22, biru 22</t>
  </si>
  <si>
    <t>bangku jongkok mini</t>
  </si>
  <si>
    <t>biru 16, merah 14</t>
  </si>
  <si>
    <t>Bangku sender mini</t>
  </si>
  <si>
    <t>Biru 15, merah 16</t>
  </si>
  <si>
    <t>Rak piring praktis</t>
  </si>
  <si>
    <t>Rak piring inova</t>
  </si>
  <si>
    <t>Rak bumbu</t>
  </si>
  <si>
    <t>Kitchen Mate 5 set</t>
  </si>
  <si>
    <t>Hanger 30 stick</t>
  </si>
  <si>
    <t>biru 7, merah 4, ungu 7</t>
  </si>
  <si>
    <t>keranjang baju elegance</t>
  </si>
  <si>
    <t>biru 10, merah 7</t>
  </si>
  <si>
    <t>keranjang serbaguna kml</t>
  </si>
  <si>
    <t>merah 4, biru 2</t>
  </si>
  <si>
    <t>Gayung pendek</t>
  </si>
  <si>
    <t>Gayung panjang</t>
  </si>
  <si>
    <t>hijau 38, biru 94, merah 32, pink 54</t>
  </si>
  <si>
    <t>Helm biru</t>
  </si>
  <si>
    <t>helm merah</t>
  </si>
  <si>
    <t>TC 50</t>
  </si>
  <si>
    <t>SRC 01 ( 60 pcs )</t>
  </si>
  <si>
    <t>merah 70, biru 52, kuning 75</t>
  </si>
  <si>
    <t>SRC 03 ( 36 pcs )</t>
  </si>
  <si>
    <t>biru 40, kuning 31</t>
  </si>
  <si>
    <t>SRC 05 ( 24 pcs )</t>
  </si>
  <si>
    <t xml:space="preserve">kuning </t>
  </si>
  <si>
    <t>SRC 10 ( 24 pcs )</t>
  </si>
  <si>
    <t>merah 1, kuning 2, biru 12</t>
  </si>
  <si>
    <t>SRC 20 ( 12 pcs )</t>
  </si>
  <si>
    <t>Keranjang industri T 16</t>
  </si>
  <si>
    <t>laci omega</t>
  </si>
  <si>
    <t>ember 12L Biru</t>
  </si>
  <si>
    <t>ember 12L Merah</t>
  </si>
  <si>
    <t>ember 12L Hijau</t>
  </si>
  <si>
    <t>ember 15L Biru</t>
  </si>
  <si>
    <t>ember 15L Merah</t>
  </si>
  <si>
    <t>ember 15L Hijau</t>
  </si>
  <si>
    <t>Baskom USA</t>
  </si>
  <si>
    <t>merah 5</t>
  </si>
  <si>
    <t>Rice Bucket 6</t>
  </si>
  <si>
    <t>Rice Bucket 8</t>
  </si>
  <si>
    <t>Rice Bucket 10</t>
  </si>
  <si>
    <t>Periuk 16 cm</t>
  </si>
  <si>
    <t>Periuk 18 cm</t>
  </si>
  <si>
    <t>Periuk 20 cm</t>
  </si>
  <si>
    <t>Periuk 22 cm</t>
  </si>
  <si>
    <t>Periuk 24 cm</t>
  </si>
  <si>
    <t>Baskom segi Large</t>
  </si>
  <si>
    <t>biru 14, merah 24</t>
  </si>
  <si>
    <t>Reducer 2 - 1/2 inch</t>
  </si>
  <si>
    <t>Plug 1/2 inch</t>
  </si>
  <si>
    <t>Tutup pipa polos 1/2</t>
  </si>
  <si>
    <t>Sokdrat Dalam 1/2</t>
  </si>
  <si>
    <t>Sokdrat Luar 1/2</t>
  </si>
  <si>
    <t>Knee 1/2</t>
  </si>
  <si>
    <t>Knee Drat Dalam 1/2</t>
  </si>
  <si>
    <t>Tee 1/2</t>
  </si>
  <si>
    <t>Sokdrat Dalam 3/4</t>
  </si>
  <si>
    <t>Sokdrat Luar 3/4</t>
  </si>
  <si>
    <t>Rabbit</t>
  </si>
  <si>
    <t xml:space="preserve">Tipe 7001 Krat gelas 25 </t>
  </si>
  <si>
    <t>biru 7, kuning 3, merah 2</t>
  </si>
  <si>
    <t xml:space="preserve">Tipe 7202 Krat gelas 50 </t>
  </si>
  <si>
    <t>biru 4, merah 5</t>
  </si>
  <si>
    <t xml:space="preserve">Tipe 9001 Krat telur </t>
  </si>
  <si>
    <t>biru 23, merah 10, hijau 24, kuning 28</t>
  </si>
  <si>
    <t>Tipe 0111</t>
  </si>
  <si>
    <t>kuning 8, merah 5, biru 8</t>
  </si>
  <si>
    <t>Tipe 0222</t>
  </si>
  <si>
    <t>biru 11, merah 6, kuning 8</t>
  </si>
  <si>
    <t>Tipe 0333</t>
  </si>
  <si>
    <t>merah 6, biru 12</t>
  </si>
  <si>
    <t>Tipe 0444</t>
  </si>
  <si>
    <t>Tipe 4022</t>
  </si>
  <si>
    <t>biru 9</t>
  </si>
  <si>
    <t>Tipe 0555</t>
  </si>
  <si>
    <t>Tipe 1001 + gagang</t>
  </si>
  <si>
    <t>hijau 6, biru 1, merah 3</t>
  </si>
  <si>
    <t>Tipe 1002</t>
  </si>
  <si>
    <t>Tipe 1004</t>
  </si>
  <si>
    <t>Tipe 1006</t>
  </si>
  <si>
    <t>kuning 4, merah 4</t>
  </si>
  <si>
    <t>Tipe 1008</t>
  </si>
  <si>
    <t>Tipe 1101</t>
  </si>
  <si>
    <t>Tipe 1223</t>
  </si>
  <si>
    <t>Tipe 2001</t>
  </si>
  <si>
    <t>hijau 1, biru 12, merah 3, kuning 1</t>
  </si>
  <si>
    <t>Tipe 2011</t>
  </si>
  <si>
    <t>kuning 8, hijau 1, biru 6, merah 9, hitam 9</t>
  </si>
  <si>
    <t>Tipe 2002</t>
  </si>
  <si>
    <t>biru 23, hijau 7, merah 16, kuning 5</t>
  </si>
  <si>
    <t>Tipe 2022</t>
  </si>
  <si>
    <t>hitam 6, merah 1 hijau 2, kuning 8</t>
  </si>
  <si>
    <t>Tipe 2122</t>
  </si>
  <si>
    <t>kuning 11, biru 1</t>
  </si>
  <si>
    <t>Tipe 2003</t>
  </si>
  <si>
    <t>biru 8, kuning 3</t>
  </si>
  <si>
    <t>Tipe 2033</t>
  </si>
  <si>
    <t>kuning 3, biru 2</t>
  </si>
  <si>
    <t>Tipe 2233</t>
  </si>
  <si>
    <t>kuning 6, merah 4, hijau 3, biru 5</t>
  </si>
  <si>
    <t>Tipe 2004</t>
  </si>
  <si>
    <t>biru 2, merah 10</t>
  </si>
  <si>
    <t>Tipe 2244</t>
  </si>
  <si>
    <t>merah 6, biru 7, kuning 5</t>
  </si>
  <si>
    <t>Tipe 2404</t>
  </si>
  <si>
    <t>biru 5, kuning 1</t>
  </si>
  <si>
    <t>Tipe 2009</t>
  </si>
  <si>
    <t>Tipe 2010</t>
  </si>
  <si>
    <t>Tipe 2112</t>
  </si>
  <si>
    <t>Tipe 2166</t>
  </si>
  <si>
    <t>Tipe 2266</t>
  </si>
  <si>
    <t>hitam</t>
  </si>
  <si>
    <t>Tipe 2606</t>
  </si>
  <si>
    <t>kuning 5, merah 11</t>
  </si>
  <si>
    <t>Tipe 2666 tutup 2606</t>
  </si>
  <si>
    <t>Tipe 2808</t>
  </si>
  <si>
    <t>biru 4, hijau 12</t>
  </si>
  <si>
    <t>Tipe 2288</t>
  </si>
  <si>
    <t>kuning 6, hijau 1, biru 2</t>
  </si>
  <si>
    <t>Tipe 2322</t>
  </si>
  <si>
    <t>kuning 2, biru 2</t>
  </si>
  <si>
    <t>Tutup 2322</t>
  </si>
  <si>
    <t>Tipe 3003</t>
  </si>
  <si>
    <t>biru 10, kuning 1, merah 10, hijau 3</t>
  </si>
  <si>
    <t>Tipe 3033</t>
  </si>
  <si>
    <t>hitam 2, biru 6, merah 6</t>
  </si>
  <si>
    <t>Tutup 3333</t>
  </si>
  <si>
    <t xml:space="preserve">putih </t>
  </si>
  <si>
    <t>Tipe 3009</t>
  </si>
  <si>
    <t>biru 7, kuning 5</t>
  </si>
  <si>
    <t>Tipe T 3302 ( TUTUP )</t>
  </si>
  <si>
    <t>Tipe 3322</t>
  </si>
  <si>
    <t>Tipe 3303</t>
  </si>
  <si>
    <t>merah 5, biru 4</t>
  </si>
  <si>
    <t>Tipe 3323</t>
  </si>
  <si>
    <t xml:space="preserve">kuning 3, biru 4 </t>
  </si>
  <si>
    <t>Tipe 3326</t>
  </si>
  <si>
    <t>kuning 3, hijau 2, biru 3</t>
  </si>
  <si>
    <t>Tipe 3308</t>
  </si>
  <si>
    <t>Tipe 3328</t>
  </si>
  <si>
    <t>Tipe 3329</t>
  </si>
  <si>
    <t>biru 4, hijau 3</t>
  </si>
  <si>
    <t>Tipe 4303 ( tray )</t>
  </si>
  <si>
    <t>biru 7</t>
  </si>
  <si>
    <t>Tipe 4609 ( tray roti tawar )</t>
  </si>
  <si>
    <t xml:space="preserve">biru 9 </t>
  </si>
  <si>
    <t>Tipe 5000 + tutup</t>
  </si>
  <si>
    <t>Tipe 5002</t>
  </si>
  <si>
    <t>merah 15, biru 10</t>
  </si>
  <si>
    <t>Tipe 5004</t>
  </si>
  <si>
    <t>kuning 11, merah 11</t>
  </si>
  <si>
    <t>Tipe 5031</t>
  </si>
  <si>
    <t>Tipe 5034 ( sekat )</t>
  </si>
  <si>
    <t>Tipe 5040 ( rak roti )</t>
  </si>
  <si>
    <t>abu 10</t>
  </si>
  <si>
    <t>Tipe 5056 keranjang krat telur</t>
  </si>
  <si>
    <t>kuning 1, hijau 1</t>
  </si>
  <si>
    <t>Tipe 6011</t>
  </si>
  <si>
    <t>kuning 3, biru 1, merah 7</t>
  </si>
  <si>
    <t>Tutup 6101</t>
  </si>
  <si>
    <t>Tipe 6012</t>
  </si>
  <si>
    <t>hijau 2, coklat 7, kuning 1, biru 7</t>
  </si>
  <si>
    <t>Tipe 6013</t>
  </si>
  <si>
    <t>Tipe 6022</t>
  </si>
  <si>
    <t>kuning 13, biru 4, hijau 9, merah 1</t>
  </si>
  <si>
    <t>Tipe 6033</t>
  </si>
  <si>
    <t>merah 1, orange 1, biru 5, kuning 8</t>
  </si>
  <si>
    <t>tutup 6303</t>
  </si>
  <si>
    <t>Tipe 6004</t>
  </si>
  <si>
    <t>biru 1, hijau 2</t>
  </si>
  <si>
    <t>Tipe 6044</t>
  </si>
  <si>
    <t>biru 34, kuning 13, hijau 9, merah 10</t>
  </si>
  <si>
    <t>Tipe 6053</t>
  </si>
  <si>
    <t>sekat 6053 pendek</t>
  </si>
  <si>
    <t>sekat 6053 panjang</t>
  </si>
  <si>
    <t xml:space="preserve">Tipe 6055  </t>
  </si>
  <si>
    <t>biru 5, hijau 1, merah 5</t>
  </si>
  <si>
    <t>sekat 6055 pendek</t>
  </si>
  <si>
    <t>sekat 6055 panjang</t>
  </si>
  <si>
    <t>Tipe 6068</t>
  </si>
  <si>
    <t>biru 27, hitam 2, abu 1</t>
  </si>
  <si>
    <t>Tipe 6069</t>
  </si>
  <si>
    <t>coklat</t>
  </si>
  <si>
    <t>Tipe 6111</t>
  </si>
  <si>
    <t>biru 6, hijau 7, merah 7</t>
  </si>
  <si>
    <t>Tipe 6333</t>
  </si>
  <si>
    <t>hijau 7, merah 9,kuning 5</t>
  </si>
  <si>
    <t>Tipe 6363</t>
  </si>
  <si>
    <t>kuning 9, biru 8, pink 5</t>
  </si>
  <si>
    <t>Tipe 6464</t>
  </si>
  <si>
    <t>tutup 6464</t>
  </si>
  <si>
    <t>Tipe 6553</t>
  </si>
  <si>
    <t>merah 12, orange 2, kuning 15, biru 16</t>
  </si>
  <si>
    <t>Tipe 6558</t>
  </si>
  <si>
    <t>Tipe 6611</t>
  </si>
  <si>
    <t>hijau 7, kuning 7, biru 8, merah 20</t>
  </si>
  <si>
    <t>Tipe 6655</t>
  </si>
  <si>
    <t>Tipe 6656</t>
  </si>
  <si>
    <t>orange 3, biru 7</t>
  </si>
  <si>
    <t>Tipe 6658</t>
  </si>
  <si>
    <t>Tipe 6673</t>
  </si>
  <si>
    <t>Tipe 6675</t>
  </si>
  <si>
    <t>Tipe 6676</t>
  </si>
  <si>
    <t>Tipe 6678</t>
  </si>
  <si>
    <t>orange 2</t>
  </si>
  <si>
    <t>Tipe 6687</t>
  </si>
  <si>
    <t>orange 10, biru 8</t>
  </si>
  <si>
    <t>Tipe 6688</t>
  </si>
  <si>
    <t>orange 5, biru 3, hijau 5</t>
  </si>
  <si>
    <t>Tipe 6689</t>
  </si>
  <si>
    <t>biru 1, orange 3</t>
  </si>
  <si>
    <t>Tipe 6699</t>
  </si>
  <si>
    <t>orange 1, biru 3</t>
  </si>
  <si>
    <t>Tipe 7000</t>
  </si>
  <si>
    <t>Tipe 7004</t>
  </si>
  <si>
    <t>Tipe 7006</t>
  </si>
  <si>
    <t>abu</t>
  </si>
  <si>
    <t>Tipe 7007</t>
  </si>
  <si>
    <t>merah 1, biru 4</t>
  </si>
  <si>
    <t>Tipe 7008</t>
  </si>
  <si>
    <t xml:space="preserve">biru 1 </t>
  </si>
  <si>
    <t>Tipe 7022</t>
  </si>
  <si>
    <t>hijau 2, kuning 5, biru 4</t>
  </si>
  <si>
    <t>Tipe 7033</t>
  </si>
  <si>
    <t xml:space="preserve"> kuning 3, biru 1</t>
  </si>
  <si>
    <t>Tipe 7055</t>
  </si>
  <si>
    <t>biru 2, orange 1</t>
  </si>
  <si>
    <t>Tutup 7055</t>
  </si>
  <si>
    <t>orange 2, biru 4</t>
  </si>
  <si>
    <t>Tipe 6000</t>
  </si>
  <si>
    <t>abu 9, biru 1</t>
  </si>
  <si>
    <t>Tipe 7100</t>
  </si>
  <si>
    <t>biru 5, kuning 2, merah 6</t>
  </si>
  <si>
    <t>Tipe 7303</t>
  </si>
  <si>
    <t>Tipe 7908</t>
  </si>
  <si>
    <t>Tipe 7099</t>
  </si>
  <si>
    <t>Tipe 8000+tutup</t>
  </si>
  <si>
    <t>Tutup 8000</t>
  </si>
  <si>
    <t>biru 5 hijau 3</t>
  </si>
  <si>
    <t xml:space="preserve">Tipe 8002 Krat botol kecil </t>
  </si>
  <si>
    <t>merah 2, biru 13</t>
  </si>
  <si>
    <t>Tipe 8003 Krat galon</t>
  </si>
  <si>
    <t>Tipe 8005 Krat galon new model</t>
  </si>
  <si>
    <t xml:space="preserve">Tipe 8006 Krat botol besar isi 24 </t>
  </si>
  <si>
    <t>merah 13, biru 8</t>
  </si>
  <si>
    <t xml:space="preserve">Tipe 8008 Krat botol besar isi 12 </t>
  </si>
  <si>
    <t xml:space="preserve">Tipe 9606 keranjang ayam  besar </t>
  </si>
  <si>
    <t xml:space="preserve">Tipe 9009 Slat </t>
  </si>
  <si>
    <t>palet NPK 1005 (100 x 50 x 8)</t>
  </si>
  <si>
    <t>Hitam 6, biru 4</t>
  </si>
  <si>
    <t>Palet NPS 1205 (120x50x13,2 )</t>
  </si>
  <si>
    <t>Palet NPS 1206 (120x60x13,2 )</t>
  </si>
  <si>
    <t>Palet NPS 1208 (120x80x13,2 )</t>
  </si>
  <si>
    <t>Palet NPA 0808</t>
  </si>
  <si>
    <t>LINHUI</t>
  </si>
  <si>
    <t>box solid 43147</t>
  </si>
  <si>
    <t>box solid 43170</t>
  </si>
  <si>
    <t>box solid 43230</t>
  </si>
  <si>
    <t>box solid 64120</t>
  </si>
  <si>
    <t>box solid 64170</t>
  </si>
  <si>
    <t>box solid 64280</t>
  </si>
  <si>
    <t>box solid 64330</t>
  </si>
  <si>
    <t>Palet mangkuk 1111 hitam</t>
  </si>
  <si>
    <t>Palet mangkuk 1111 biru</t>
  </si>
  <si>
    <t>Palet mangkuk 1210 hitam</t>
  </si>
  <si>
    <t>Palet mangkuk 1210 biru</t>
  </si>
  <si>
    <t>KIMPLAST</t>
  </si>
  <si>
    <t>Keranjang piring</t>
  </si>
  <si>
    <t>MASPION</t>
  </si>
  <si>
    <t>Box 2315</t>
  </si>
  <si>
    <t>orange 1</t>
  </si>
  <si>
    <t>Box 2823</t>
  </si>
  <si>
    <t>TB Classy 13"</t>
  </si>
  <si>
    <t>TB Classy 17"</t>
  </si>
  <si>
    <t>Tatakan Setrika</t>
  </si>
  <si>
    <t>Fancy Grill 33 cm</t>
  </si>
  <si>
    <t>Teko Regoletto spring 2,5 L</t>
  </si>
  <si>
    <t>ungu 1, hijau 2</t>
  </si>
  <si>
    <t>Keranjang Rio Besar</t>
  </si>
  <si>
    <t>Tempat sendok</t>
  </si>
  <si>
    <t>GBU</t>
  </si>
  <si>
    <t>Gelas Kimmy</t>
  </si>
  <si>
    <t>peach</t>
  </si>
  <si>
    <t>Gelas gagang boston</t>
  </si>
  <si>
    <t>Tempat sendok clara</t>
  </si>
  <si>
    <t>Ember MIZU 12 ltr Warna</t>
  </si>
  <si>
    <t>Ember MIZU 12 ltr Mono</t>
  </si>
  <si>
    <t>abu-abu</t>
  </si>
  <si>
    <t>Ember MIZU 15 ltr</t>
  </si>
  <si>
    <t>BIOPLAST</t>
  </si>
  <si>
    <t>ember putih 4 L</t>
  </si>
  <si>
    <t>ember hitam 4L</t>
  </si>
  <si>
    <t>ember putih 20 L</t>
  </si>
  <si>
    <t>ember 31, tutup 30</t>
  </si>
  <si>
    <t>ember hitam 20 L</t>
  </si>
  <si>
    <t>ember navy 20 L</t>
  </si>
  <si>
    <t>ember pull up putih</t>
  </si>
  <si>
    <t>ember pull up navy</t>
  </si>
  <si>
    <t>ember pull up kuning</t>
  </si>
  <si>
    <t>ember pull up hitam</t>
  </si>
  <si>
    <t>Toples 500 ml</t>
  </si>
  <si>
    <t>Toples 800 ml</t>
  </si>
  <si>
    <t>Toples 1000 ml</t>
  </si>
  <si>
    <t>Toples 1200 ml</t>
  </si>
  <si>
    <t>tutup bening</t>
  </si>
  <si>
    <t>tutup putih</t>
  </si>
  <si>
    <t>GOLDEN</t>
  </si>
  <si>
    <t>Bak Segi</t>
  </si>
  <si>
    <t>Keranjang Kelengkeng</t>
  </si>
  <si>
    <t>ASIA PLAST</t>
  </si>
  <si>
    <t>Kontainer Lipat solid</t>
  </si>
  <si>
    <t>Kontainer Lipat solid+tutup</t>
  </si>
  <si>
    <t>Kontainer Lipat lubang+tutup</t>
  </si>
  <si>
    <t>Greenleaf</t>
  </si>
  <si>
    <t>T 1455</t>
  </si>
  <si>
    <t>T 1456</t>
  </si>
  <si>
    <t>BEKAS</t>
  </si>
  <si>
    <t>1001 bekas</t>
  </si>
  <si>
    <t>modal 65,000</t>
  </si>
  <si>
    <t>6068 bekas</t>
  </si>
  <si>
    <t>modal 23,000</t>
  </si>
  <si>
    <t>5077 bekas</t>
  </si>
  <si>
    <t xml:space="preserve">modal 37,000 </t>
  </si>
  <si>
    <t>5078 bekas gompel</t>
  </si>
  <si>
    <t>Palet Bekas 110*110*12 cm</t>
  </si>
  <si>
    <t>modal 105,000</t>
  </si>
  <si>
    <t>Stock Barang Jadi Paletindo</t>
  </si>
  <si>
    <t xml:space="preserve"> HARGA BARU</t>
  </si>
  <si>
    <t>Tipe</t>
  </si>
  <si>
    <t>Pricelist</t>
  </si>
  <si>
    <t>Modal lama</t>
  </si>
  <si>
    <t>modal baru</t>
  </si>
  <si>
    <t>Tipe 1001 + GG</t>
  </si>
  <si>
    <t>Tipe 1223 ( krj buah bulat )</t>
  </si>
  <si>
    <t>Tipe 2066</t>
  </si>
  <si>
    <t>Tipe 2008</t>
  </si>
  <si>
    <t>Tipe 2303</t>
  </si>
  <si>
    <t>Tipe 3333 ( tutup )</t>
  </si>
  <si>
    <t xml:space="preserve">Tipe 3033 + tutup </t>
  </si>
  <si>
    <t>Tipe 3304</t>
  </si>
  <si>
    <t>Tipe 3309</t>
  </si>
  <si>
    <t>Tipe 4303</t>
  </si>
  <si>
    <t>Tipe 4609</t>
  </si>
  <si>
    <t>Tipe 5034</t>
  </si>
  <si>
    <t>Tipe 5040</t>
  </si>
  <si>
    <t>Tipe 5077</t>
  </si>
  <si>
    <t>Tipe 5505</t>
  </si>
  <si>
    <t>Tutup 6011</t>
  </si>
  <si>
    <t>Tipe 6033 + tutup 6033</t>
  </si>
  <si>
    <t>Sekat 6053/6055 ( panjang pendek )</t>
  </si>
  <si>
    <t>Tipe 6053 + S 4</t>
  </si>
  <si>
    <t>Tipe 6055 + S 7</t>
  </si>
  <si>
    <t>Tipe 7555 ( tutup 7055)</t>
  </si>
  <si>
    <t>Tipe 7055 + tutup</t>
  </si>
  <si>
    <t>Tipe 7077</t>
  </si>
  <si>
    <t>Tipe 7009</t>
  </si>
  <si>
    <t>Tipe 7099+Kaki</t>
  </si>
  <si>
    <t>Tipe 7909</t>
  </si>
  <si>
    <t>Tipe 7200</t>
  </si>
  <si>
    <t xml:space="preserve">Tipe 8000 </t>
  </si>
  <si>
    <t>Tipe 8000 + tutup</t>
  </si>
  <si>
    <t xml:space="preserve">Tipe 8003 Krat Galon </t>
  </si>
  <si>
    <t xml:space="preserve">Tipe 8005 Krat Galon </t>
  </si>
  <si>
    <t xml:space="preserve">Tipe 9006keranjang ayam  kecil </t>
  </si>
  <si>
    <t>palet NPK 1005S (100 x 50 x 8)</t>
  </si>
  <si>
    <t>palet NPA 0808 (80X80X15)</t>
  </si>
  <si>
    <t>palet NPA 1210 (120x100x14)</t>
  </si>
  <si>
    <t>palet NPA 1212 (120x120x16)</t>
  </si>
  <si>
    <t>palet NPF 1210 (120x100x14)</t>
  </si>
  <si>
    <t>palet NPL 1110</t>
  </si>
  <si>
    <t>palet NPL 1210</t>
  </si>
  <si>
    <t>palet NPL 1311</t>
  </si>
  <si>
    <t>palet NPJ 1111</t>
  </si>
  <si>
    <t>palet NPI 1212 S</t>
  </si>
  <si>
    <t>palet NPR 1210 New</t>
  </si>
  <si>
    <t>palet NPR 1212 ST ( belum besi )</t>
  </si>
  <si>
    <t>palet NPD 1212</t>
  </si>
  <si>
    <t>palet NPD 1311</t>
  </si>
  <si>
    <t>palet NPD 1512</t>
  </si>
  <si>
    <t>palet NPN 1210</t>
  </si>
  <si>
    <t>palet NPN 1212</t>
  </si>
  <si>
    <t>besinya</t>
  </si>
  <si>
    <t>besi panjang ( belum ppn 11 % )</t>
  </si>
  <si>
    <t xml:space="preserve">besi pendek </t>
  </si>
  <si>
    <t>palet 1188</t>
  </si>
  <si>
    <t>Tipe 1199 + kaki palet</t>
  </si>
  <si>
    <t>paket 2166 + 2001 ( Tipe 1 )</t>
  </si>
  <si>
    <t>paket 2288 + 2001 ( Tipe 2 )</t>
  </si>
  <si>
    <t>paket 2606 + 2001 ( Tipe 3 )</t>
  </si>
  <si>
    <t>Paket 2808 + 2001 ( Tipe 4 )</t>
  </si>
  <si>
    <t>Paket 5056 + 14 krat telur</t>
  </si>
  <si>
    <t>Palet Hitam</t>
  </si>
  <si>
    <t>Palet Biru</t>
  </si>
  <si>
    <t>Palet solid 1210</t>
  </si>
  <si>
    <t>Palet 1111 hitam</t>
  </si>
  <si>
    <t>tutup 40 x 1</t>
  </si>
  <si>
    <t>tutup 60 x 1</t>
  </si>
  <si>
    <t>keranjang roti 60*40*11,5</t>
  </si>
  <si>
    <t>keranjang buah 60*40*31</t>
  </si>
  <si>
    <t>Kontainer logistik linhui ( 3,37 kg )</t>
  </si>
  <si>
    <t>disc 10% + 2,5 %</t>
  </si>
  <si>
    <t>Bak persegi silver ( 1 koli 72 pcs )</t>
  </si>
  <si>
    <t>Krat Industri ORI 61x42x32</t>
  </si>
  <si>
    <t>Krat Industri KW1 61x42x33</t>
  </si>
  <si>
    <t>Krat Industri hitam 61x42x34</t>
  </si>
  <si>
    <t>KOTAMAS</t>
  </si>
  <si>
    <t>Harper</t>
  </si>
  <si>
    <t>lama</t>
  </si>
  <si>
    <t>Box 2823 ( harga baru ) 8-8-24</t>
  </si>
  <si>
    <t>TB Classy 13" ( harga baru )</t>
  </si>
  <si>
    <t>TB Classy 17" ( harga baru )</t>
  </si>
  <si>
    <t>Tempat Sendok</t>
  </si>
  <si>
    <t>Kotak makan milano</t>
  </si>
  <si>
    <t>Gelas Boston</t>
  </si>
  <si>
    <t>Cangkir Kimmy</t>
  </si>
  <si>
    <t>ember 12 L mono</t>
  </si>
  <si>
    <t>ember 12 L warna</t>
  </si>
  <si>
    <t>ember 15 L mono</t>
  </si>
  <si>
    <t>ember 15 L warna</t>
  </si>
  <si>
    <t>SUNLIFE</t>
  </si>
  <si>
    <t>Rantang 3 susun</t>
  </si>
  <si>
    <t>Keranjang pasar</t>
  </si>
  <si>
    <t>Tori</t>
  </si>
  <si>
    <t>ember filter kolam</t>
  </si>
  <si>
    <t>Ember 1 L</t>
  </si>
  <si>
    <t>5300+ppn</t>
  </si>
  <si>
    <t>Ember 4 L</t>
  </si>
  <si>
    <t>12500+ppn</t>
  </si>
  <si>
    <t>Ember 10 L</t>
  </si>
  <si>
    <t>28000+ppn</t>
  </si>
  <si>
    <t>Ember 20 L</t>
  </si>
  <si>
    <t>48000+ppn</t>
  </si>
  <si>
    <t>Ember 20 L Navy PROMO</t>
  </si>
  <si>
    <t>32000+ppn</t>
  </si>
  <si>
    <t>Ember pul up</t>
  </si>
  <si>
    <t>58000+ppn</t>
  </si>
  <si>
    <t>Ember filter</t>
  </si>
  <si>
    <t>3000+ppn</t>
  </si>
  <si>
    <t>2850+ppn</t>
  </si>
  <si>
    <t>3100+ppn</t>
  </si>
  <si>
    <t>Toples 500 ml tutup aluminiun</t>
  </si>
  <si>
    <t>4150+ppn</t>
  </si>
  <si>
    <t>Toples 800 ml tutup aluminiun</t>
  </si>
  <si>
    <t>4200+ppn</t>
  </si>
  <si>
    <t>Toples 1000 ml tutup aluminiun</t>
  </si>
  <si>
    <t>4250+ppn</t>
  </si>
  <si>
    <t>Toples 1200 ml tutup aluminiun</t>
  </si>
  <si>
    <t>4300+ppn</t>
  </si>
  <si>
    <t>Kontainer Lipat</t>
  </si>
  <si>
    <t>155000+ppn</t>
  </si>
  <si>
    <t>Bento 3 sekat</t>
  </si>
  <si>
    <t>3200+ppn</t>
  </si>
  <si>
    <t>Tutup ember 20L</t>
  </si>
  <si>
    <t>14000+ppn</t>
  </si>
  <si>
    <t>NUMAN</t>
  </si>
  <si>
    <t>kotak makan 5 sekat</t>
  </si>
  <si>
    <t>krat gelas</t>
  </si>
  <si>
    <t>Tutup kotak makan</t>
  </si>
  <si>
    <t>gelas 350 ml</t>
  </si>
  <si>
    <t>sendok/garpu 12 pcs</t>
  </si>
  <si>
    <t>piring 9"</t>
  </si>
  <si>
    <t>nampan uk 2</t>
  </si>
  <si>
    <t>nampan uk 4</t>
  </si>
  <si>
    <t>PT ASIA PLAST</t>
  </si>
  <si>
    <t>129.364+10.000</t>
  </si>
  <si>
    <t>Kontainer Lipat Berlubang + Tutup</t>
  </si>
  <si>
    <t>135.000+10.000</t>
  </si>
  <si>
    <t>Kontainer Lipat Solid + Tutup</t>
  </si>
  <si>
    <t>159.103+10.000</t>
  </si>
  <si>
    <t>ATARI</t>
  </si>
  <si>
    <t>Keranjang durian</t>
  </si>
  <si>
    <t>GREENLIFE</t>
  </si>
  <si>
    <t>Hasienda 1455</t>
  </si>
  <si>
    <t>1 koli = 60 pcs</t>
  </si>
  <si>
    <t>Hasienda 1456</t>
  </si>
  <si>
    <t>1 koli = 36 pcs</t>
  </si>
  <si>
    <t>15%+5%</t>
  </si>
  <si>
    <t>MODAL Ember Filter</t>
  </si>
  <si>
    <t xml:space="preserve">Ember  </t>
  </si>
  <si>
    <t>pipa 1/2 inch 50 cm</t>
  </si>
  <si>
    <t>pipa 3/4 inch 20 cm</t>
  </si>
  <si>
    <t>SDL 1 inch ( 1 pcs )</t>
  </si>
  <si>
    <t>SDD 1 inch ( 1 pcs )</t>
  </si>
  <si>
    <t>SDL 1/2 inch ( 2 x 559 )</t>
  </si>
  <si>
    <t xml:space="preserve">SDD 1/2 inch </t>
  </si>
  <si>
    <t>Knee Drat Dalam 1/2 inch</t>
  </si>
  <si>
    <t>Knee 1/2 inch ( 3 x 845 )</t>
  </si>
  <si>
    <t>Tee</t>
  </si>
  <si>
    <t>Tutup pipa 1/2 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</si>
</sst>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8" tint="-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 applyAlignment="1">
      <alignment horizontal="center" vertical="center"/>
    </xf>
    <xf numFmtId="41" fontId="2" fillId="0" borderId="0" xfId="0" applyNumberFormat="1" applyFont="1"/>
    <xf numFmtId="1" fontId="1" fillId="0" borderId="0" xfId="0" applyNumberFormat="1" applyFont="1"/>
    <xf numFmtId="0" fontId="3" fillId="0" borderId="1" xfId="0" applyFont="1" applyBorder="1"/>
    <xf numFmtId="1" fontId="3" fillId="0" borderId="1" xfId="0" applyNumberFormat="1" applyFont="1" applyBorder="1" applyAlignment="1">
      <alignment horizontal="center" vertical="center"/>
    </xf>
    <xf numFmtId="41" fontId="3" fillId="0" borderId="1" xfId="0" applyNumberFormat="1" applyFont="1" applyBorder="1"/>
    <xf numFmtId="0" fontId="4" fillId="0" borderId="0" xfId="0" applyFont="1"/>
    <xf numFmtId="0" fontId="3" fillId="0" borderId="0" xfId="0" applyFont="1"/>
    <xf numFmtId="41" fontId="3" fillId="0" borderId="0" xfId="0" applyNumberFormat="1" applyFont="1"/>
    <xf numFmtId="0" fontId="6" fillId="0" borderId="0" xfId="0" applyFont="1"/>
    <xf numFmtId="1" fontId="3" fillId="0" borderId="0" xfId="0" applyNumberFormat="1" applyFont="1" applyAlignment="1">
      <alignment horizontal="center" vertical="center"/>
    </xf>
    <xf numFmtId="41" fontId="0" fillId="0" borderId="0" xfId="0" applyNumberFormat="1"/>
    <xf numFmtId="1" fontId="2" fillId="0" borderId="0" xfId="0" applyNumberFormat="1" applyFont="1"/>
    <xf numFmtId="0" fontId="2" fillId="6" borderId="0" xfId="0" applyFont="1" applyFill="1"/>
    <xf numFmtId="1" fontId="2" fillId="6" borderId="0" xfId="0" applyNumberFormat="1" applyFont="1" applyFill="1"/>
    <xf numFmtId="41" fontId="2" fillId="6" borderId="0" xfId="0" applyNumberFormat="1" applyFont="1" applyFill="1"/>
    <xf numFmtId="41" fontId="1" fillId="0" borderId="0" xfId="0" applyNumberFormat="1" applyFont="1"/>
    <xf numFmtId="0" fontId="7" fillId="0" borderId="0" xfId="0" applyFont="1"/>
    <xf numFmtId="0" fontId="8" fillId="0" borderId="2" xfId="0" applyFont="1" applyBorder="1"/>
    <xf numFmtId="41" fontId="8" fillId="0" borderId="0" xfId="0" applyNumberFormat="1" applyFont="1"/>
    <xf numFmtId="0" fontId="8" fillId="0" borderId="0" xfId="0" applyFont="1"/>
    <xf numFmtId="41" fontId="8" fillId="6" borderId="0" xfId="0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41" fontId="8" fillId="0" borderId="0" xfId="0" applyNumberFormat="1" applyFont="1" applyAlignment="1">
      <alignment horizontal="center"/>
    </xf>
    <xf numFmtId="0" fontId="8" fillId="3" borderId="0" xfId="0" applyFont="1" applyFill="1"/>
    <xf numFmtId="41" fontId="8" fillId="2" borderId="0" xfId="0" applyNumberFormat="1" applyFont="1" applyFill="1"/>
    <xf numFmtId="41" fontId="8" fillId="3" borderId="0" xfId="0" applyNumberFormat="1" applyFont="1" applyFill="1"/>
    <xf numFmtId="41" fontId="8" fillId="4" borderId="0" xfId="0" applyNumberFormat="1" applyFont="1" applyFill="1"/>
    <xf numFmtId="41" fontId="5" fillId="0" borderId="0" xfId="0" applyNumberFormat="1" applyFont="1"/>
    <xf numFmtId="41" fontId="9" fillId="0" borderId="0" xfId="0" applyNumberFormat="1" applyFont="1"/>
    <xf numFmtId="0" fontId="3" fillId="0" borderId="0" xfId="0" applyFont="1" applyAlignment="1">
      <alignment horizontal="left"/>
    </xf>
    <xf numFmtId="0" fontId="3" fillId="0" borderId="3" xfId="0" applyFont="1" applyBorder="1"/>
    <xf numFmtId="1" fontId="3" fillId="0" borderId="3" xfId="0" applyNumberFormat="1" applyFont="1" applyBorder="1" applyAlignment="1">
      <alignment horizontal="center" vertical="center"/>
    </xf>
    <xf numFmtId="41" fontId="3" fillId="0" borderId="3" xfId="0" applyNumberFormat="1" applyFont="1" applyBorder="1"/>
    <xf numFmtId="41" fontId="9" fillId="0" borderId="1" xfId="0" applyNumberFormat="1" applyFont="1" applyBorder="1"/>
    <xf numFmtId="41" fontId="0" fillId="0" borderId="1" xfId="0" applyNumberFormat="1" applyBorder="1"/>
    <xf numFmtId="41" fontId="10" fillId="0" borderId="0" xfId="0" applyNumberFormat="1" applyFont="1"/>
    <xf numFmtId="41" fontId="6" fillId="0" borderId="0" xfId="0" applyNumberFormat="1" applyFont="1"/>
    <xf numFmtId="41" fontId="5" fillId="5" borderId="0" xfId="0" applyNumberFormat="1" applyFont="1" applyFill="1"/>
    <xf numFmtId="41" fontId="1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7D2D-E481-42E0-A9C3-D4DB108ABF11}">
  <dimension ref="A1:F571"/>
  <sheetViews>
    <sheetView topLeftCell="A63" workbookViewId="0">
      <selection activeCell="F88" sqref="F88"/>
    </sheetView>
  </sheetViews>
  <sheetFormatPr defaultRowHeight="15" x14ac:dyDescent="0.25"/>
  <cols>
    <col min="1" max="1" width="4.7109375" customWidth="1"/>
    <col min="2" max="2" width="30.7109375" bestFit="1" customWidth="1"/>
    <col min="3" max="3" width="23" customWidth="1"/>
    <col min="4" max="4" width="20.85546875" customWidth="1"/>
    <col min="5" max="5" width="17.28515625" customWidth="1"/>
    <col min="6" max="6" width="38.140625" bestFit="1" customWidth="1"/>
  </cols>
  <sheetData>
    <row r="1" spans="1:6" ht="15.75" x14ac:dyDescent="0.25">
      <c r="A1" s="2" t="s">
        <v>530</v>
      </c>
      <c r="B1" s="2"/>
      <c r="C1" s="15"/>
      <c r="D1" s="4"/>
      <c r="E1" s="4"/>
      <c r="F1" s="2"/>
    </row>
    <row r="2" spans="1:6" ht="15.75" x14ac:dyDescent="0.25">
      <c r="A2" s="2"/>
      <c r="B2" s="2"/>
      <c r="C2" s="15"/>
      <c r="D2" s="4"/>
      <c r="E2" s="4"/>
      <c r="F2" s="2"/>
    </row>
    <row r="3" spans="1:6" ht="15.75" x14ac:dyDescent="0.25">
      <c r="A3" s="2" t="s">
        <v>0</v>
      </c>
      <c r="B3" s="2"/>
      <c r="C3" s="15"/>
      <c r="D3" s="4"/>
      <c r="E3" s="4"/>
      <c r="F3" s="2"/>
    </row>
    <row r="4" spans="1:6" ht="15.75" x14ac:dyDescent="0.25">
      <c r="A4" s="16" t="s">
        <v>1</v>
      </c>
      <c r="B4" s="16" t="s">
        <v>2</v>
      </c>
      <c r="C4" s="17" t="s">
        <v>3</v>
      </c>
      <c r="D4" s="18" t="s">
        <v>4</v>
      </c>
      <c r="E4" s="18" t="s">
        <v>5</v>
      </c>
      <c r="F4" s="16"/>
    </row>
    <row r="5" spans="1:6" ht="31.5" x14ac:dyDescent="0.5">
      <c r="A5" s="1"/>
      <c r="B5" s="20" t="s">
        <v>6</v>
      </c>
      <c r="C5" s="5"/>
      <c r="D5" s="19"/>
      <c r="E5" s="19"/>
      <c r="F5" s="1"/>
    </row>
    <row r="6" spans="1:6" ht="15.75" x14ac:dyDescent="0.25">
      <c r="A6" s="2">
        <v>1</v>
      </c>
      <c r="B6" s="2" t="s">
        <v>7</v>
      </c>
      <c r="C6" s="15">
        <v>0</v>
      </c>
      <c r="D6" s="4">
        <v>31900</v>
      </c>
      <c r="E6" s="4">
        <f t="shared" ref="E6:E19" si="0">+C6*D6</f>
        <v>0</v>
      </c>
      <c r="F6" s="2"/>
    </row>
    <row r="7" spans="1:6" ht="15.75" x14ac:dyDescent="0.25">
      <c r="A7" s="2">
        <v>2</v>
      </c>
      <c r="B7" s="2" t="s">
        <v>8</v>
      </c>
      <c r="C7" s="15">
        <v>1604</v>
      </c>
      <c r="D7" s="4">
        <v>31900</v>
      </c>
      <c r="E7" s="4">
        <f t="shared" si="0"/>
        <v>51167600</v>
      </c>
      <c r="F7" s="2"/>
    </row>
    <row r="8" spans="1:6" ht="15.75" x14ac:dyDescent="0.25">
      <c r="A8" s="2">
        <v>3</v>
      </c>
      <c r="B8" s="2" t="s">
        <v>9</v>
      </c>
      <c r="C8" s="15">
        <v>17</v>
      </c>
      <c r="D8" s="4">
        <v>31900</v>
      </c>
      <c r="E8" s="4">
        <f t="shared" si="0"/>
        <v>542300</v>
      </c>
      <c r="F8" s="15">
        <v>4</v>
      </c>
    </row>
    <row r="9" spans="1:6" ht="15.75" x14ac:dyDescent="0.25">
      <c r="A9" s="2">
        <v>4</v>
      </c>
      <c r="B9" s="2" t="s">
        <v>10</v>
      </c>
      <c r="C9" s="15">
        <v>696</v>
      </c>
      <c r="D9" s="4">
        <v>31900</v>
      </c>
      <c r="E9" s="4">
        <f t="shared" si="0"/>
        <v>22202400</v>
      </c>
      <c r="F9" s="15"/>
    </row>
    <row r="10" spans="1:6" ht="15.75" x14ac:dyDescent="0.25">
      <c r="A10" s="2">
        <v>5</v>
      </c>
      <c r="B10" s="2" t="s">
        <v>11</v>
      </c>
      <c r="C10" s="15">
        <f>23+1112</f>
        <v>1135</v>
      </c>
      <c r="D10" s="4">
        <v>31900</v>
      </c>
      <c r="E10" s="4">
        <f t="shared" si="0"/>
        <v>36206500</v>
      </c>
      <c r="F10" s="15"/>
    </row>
    <row r="11" spans="1:6" ht="15.75" x14ac:dyDescent="0.25">
      <c r="A11" s="2">
        <v>6</v>
      </c>
      <c r="B11" s="2" t="s">
        <v>12</v>
      </c>
      <c r="C11" s="15">
        <v>253</v>
      </c>
      <c r="D11" s="4">
        <v>31900</v>
      </c>
      <c r="E11" s="4">
        <f t="shared" si="0"/>
        <v>8070700</v>
      </c>
      <c r="F11" s="15"/>
    </row>
    <row r="12" spans="1:6" ht="15.75" x14ac:dyDescent="0.25">
      <c r="A12" s="2">
        <v>7</v>
      </c>
      <c r="B12" s="2" t="s">
        <v>13</v>
      </c>
      <c r="C12" s="15">
        <v>210</v>
      </c>
      <c r="D12" s="4">
        <v>31900</v>
      </c>
      <c r="E12" s="4">
        <f t="shared" si="0"/>
        <v>6699000</v>
      </c>
      <c r="F12" s="15"/>
    </row>
    <row r="13" spans="1:6" ht="15.75" x14ac:dyDescent="0.25">
      <c r="A13" s="2">
        <v>8</v>
      </c>
      <c r="B13" s="2" t="s">
        <v>14</v>
      </c>
      <c r="C13" s="15">
        <v>1091</v>
      </c>
      <c r="D13" s="4">
        <v>31900</v>
      </c>
      <c r="E13" s="4">
        <f t="shared" si="0"/>
        <v>34802900</v>
      </c>
      <c r="F13" s="15"/>
    </row>
    <row r="14" spans="1:6" ht="15.75" x14ac:dyDescent="0.25">
      <c r="A14" s="2">
        <v>9</v>
      </c>
      <c r="B14" s="2" t="s">
        <v>15</v>
      </c>
      <c r="C14" s="15">
        <v>462</v>
      </c>
      <c r="D14" s="4">
        <v>31900</v>
      </c>
      <c r="E14" s="4">
        <f t="shared" si="0"/>
        <v>14737800</v>
      </c>
      <c r="F14" s="15"/>
    </row>
    <row r="15" spans="1:6" ht="15.75" x14ac:dyDescent="0.25">
      <c r="A15" s="2">
        <v>10</v>
      </c>
      <c r="B15" s="2" t="s">
        <v>16</v>
      </c>
      <c r="C15" s="15">
        <v>320</v>
      </c>
      <c r="D15" s="4">
        <v>31900</v>
      </c>
      <c r="E15" s="4">
        <f t="shared" si="0"/>
        <v>10208000</v>
      </c>
      <c r="F15" s="15"/>
    </row>
    <row r="16" spans="1:6" ht="15.75" x14ac:dyDescent="0.25">
      <c r="A16" s="2"/>
      <c r="B16" s="2" t="s">
        <v>17</v>
      </c>
      <c r="C16" s="15"/>
      <c r="D16" s="4">
        <v>31900</v>
      </c>
      <c r="E16" s="4">
        <f t="shared" si="0"/>
        <v>0</v>
      </c>
      <c r="F16" s="15"/>
    </row>
    <row r="17" spans="1:6" ht="15.75" x14ac:dyDescent="0.25">
      <c r="A17" s="2"/>
      <c r="B17" s="2" t="s">
        <v>18</v>
      </c>
      <c r="C17" s="15">
        <v>1126</v>
      </c>
      <c r="D17" s="4">
        <v>31900</v>
      </c>
      <c r="E17" s="4">
        <f t="shared" si="0"/>
        <v>35919400</v>
      </c>
      <c r="F17" s="15"/>
    </row>
    <row r="18" spans="1:6" ht="15.75" x14ac:dyDescent="0.25">
      <c r="A18" s="2"/>
      <c r="B18" s="2" t="s">
        <v>19</v>
      </c>
      <c r="C18" s="15">
        <v>200</v>
      </c>
      <c r="D18" s="4">
        <v>31900</v>
      </c>
      <c r="E18" s="4">
        <f t="shared" si="0"/>
        <v>6380000</v>
      </c>
      <c r="F18" s="15"/>
    </row>
    <row r="19" spans="1:6" ht="15.75" x14ac:dyDescent="0.25">
      <c r="A19" s="2"/>
      <c r="B19" s="2"/>
      <c r="C19" s="15">
        <f>SUM(C6:C15)</f>
        <v>5788</v>
      </c>
      <c r="D19" s="4"/>
      <c r="E19" s="4">
        <f t="shared" si="0"/>
        <v>0</v>
      </c>
      <c r="F19" s="15">
        <f>5208-5186</f>
        <v>22</v>
      </c>
    </row>
    <row r="20" spans="1:6" ht="15.75" x14ac:dyDescent="0.25">
      <c r="A20" s="2"/>
      <c r="B20" s="2"/>
      <c r="C20" s="15"/>
      <c r="D20" s="4"/>
      <c r="E20" s="4"/>
      <c r="F20" s="15"/>
    </row>
    <row r="21" spans="1:6" ht="31.5" x14ac:dyDescent="0.5">
      <c r="A21" s="1"/>
      <c r="B21" s="20" t="s">
        <v>20</v>
      </c>
      <c r="C21" s="5"/>
      <c r="D21" s="19"/>
      <c r="E21" s="19">
        <f t="shared" ref="E21:E24" si="1">+C21*D21</f>
        <v>0</v>
      </c>
      <c r="F21" s="5"/>
    </row>
    <row r="22" spans="1:6" ht="15.75" x14ac:dyDescent="0.25">
      <c r="A22" s="2"/>
      <c r="B22" s="2" t="s">
        <v>21</v>
      </c>
      <c r="C22" s="15">
        <v>120</v>
      </c>
      <c r="D22" s="4">
        <v>36500</v>
      </c>
      <c r="E22" s="4">
        <f t="shared" si="1"/>
        <v>4380000</v>
      </c>
      <c r="F22" s="15"/>
    </row>
    <row r="23" spans="1:6" ht="15.75" x14ac:dyDescent="0.25">
      <c r="A23" s="2"/>
      <c r="B23" s="2" t="s">
        <v>7</v>
      </c>
      <c r="C23" s="15">
        <f>26+27+247</f>
        <v>300</v>
      </c>
      <c r="D23" s="4">
        <v>36500</v>
      </c>
      <c r="E23" s="4">
        <f t="shared" si="1"/>
        <v>10950000</v>
      </c>
      <c r="F23" s="15"/>
    </row>
    <row r="24" spans="1:6" ht="15.75" x14ac:dyDescent="0.25">
      <c r="A24" s="2"/>
      <c r="B24" s="2" t="s">
        <v>8</v>
      </c>
      <c r="C24" s="15">
        <v>115</v>
      </c>
      <c r="D24" s="4">
        <v>36500</v>
      </c>
      <c r="E24" s="4">
        <f t="shared" si="1"/>
        <v>4197500</v>
      </c>
      <c r="F24" s="15" t="s">
        <v>22</v>
      </c>
    </row>
    <row r="25" spans="1:6" ht="15.75" x14ac:dyDescent="0.25">
      <c r="A25" s="2"/>
      <c r="B25" s="2"/>
      <c r="C25" s="15">
        <f>SUM(C22:C24)</f>
        <v>535</v>
      </c>
      <c r="D25" s="4"/>
      <c r="E25" s="4">
        <f>+C25*D25</f>
        <v>0</v>
      </c>
      <c r="F25" s="15">
        <f>+C25*26000</f>
        <v>13910000</v>
      </c>
    </row>
    <row r="26" spans="1:6" ht="15.75" x14ac:dyDescent="0.25">
      <c r="A26" s="2"/>
      <c r="B26" s="2"/>
      <c r="C26" s="15"/>
      <c r="D26" s="4"/>
      <c r="E26" s="4"/>
      <c r="F26" s="15"/>
    </row>
    <row r="27" spans="1:6" ht="31.5" x14ac:dyDescent="0.5">
      <c r="A27" s="1"/>
      <c r="B27" s="20" t="s">
        <v>23</v>
      </c>
      <c r="C27" s="5"/>
      <c r="D27" s="19"/>
      <c r="E27" s="19"/>
      <c r="F27" s="5"/>
    </row>
    <row r="28" spans="1:6" ht="15.75" x14ac:dyDescent="0.25">
      <c r="A28" s="2"/>
      <c r="B28" s="2" t="s">
        <v>7</v>
      </c>
      <c r="C28" s="15">
        <v>802</v>
      </c>
      <c r="D28" s="4"/>
      <c r="E28" s="4"/>
      <c r="F28" s="15"/>
    </row>
    <row r="29" spans="1:6" ht="15.75" x14ac:dyDescent="0.25">
      <c r="A29" s="2"/>
      <c r="B29" s="2" t="s">
        <v>13</v>
      </c>
      <c r="C29" s="15">
        <v>869</v>
      </c>
      <c r="D29" s="4"/>
      <c r="E29" s="4"/>
      <c r="F29" s="15"/>
    </row>
    <row r="30" spans="1:6" ht="15.75" x14ac:dyDescent="0.25">
      <c r="A30" s="2"/>
      <c r="B30" s="2" t="s">
        <v>8</v>
      </c>
      <c r="C30" s="15">
        <v>1000</v>
      </c>
      <c r="D30" s="4"/>
      <c r="E30" s="4"/>
      <c r="F30" s="15"/>
    </row>
    <row r="31" spans="1:6" ht="15.75" x14ac:dyDescent="0.25">
      <c r="A31" s="2"/>
      <c r="B31" s="2" t="s">
        <v>24</v>
      </c>
      <c r="C31" s="15">
        <v>715</v>
      </c>
      <c r="D31" s="4"/>
      <c r="E31" s="4"/>
      <c r="F31" s="15"/>
    </row>
    <row r="32" spans="1:6" ht="15.75" x14ac:dyDescent="0.25">
      <c r="A32" s="2"/>
      <c r="B32" s="2" t="s">
        <v>25</v>
      </c>
      <c r="C32" s="15">
        <v>1886</v>
      </c>
      <c r="D32" s="4"/>
      <c r="E32" s="4"/>
      <c r="F32" s="15"/>
    </row>
    <row r="33" spans="1:6" ht="15.75" x14ac:dyDescent="0.25">
      <c r="A33" s="2"/>
      <c r="B33" s="2" t="s">
        <v>26</v>
      </c>
      <c r="C33" s="15">
        <v>876</v>
      </c>
      <c r="D33" s="4"/>
      <c r="E33" s="4"/>
      <c r="F33" s="15"/>
    </row>
    <row r="34" spans="1:6" ht="15.75" x14ac:dyDescent="0.25">
      <c r="A34" s="2"/>
      <c r="B34" s="2"/>
      <c r="C34" s="15">
        <f>SUM(C28:C33)</f>
        <v>6148</v>
      </c>
      <c r="D34" s="4"/>
      <c r="E34" s="4"/>
      <c r="F34" s="15"/>
    </row>
    <row r="35" spans="1:6" ht="15.75" x14ac:dyDescent="0.25">
      <c r="A35" s="2"/>
      <c r="B35" s="2"/>
      <c r="C35" s="15"/>
      <c r="D35" s="4"/>
      <c r="E35" s="4"/>
      <c r="F35" s="15"/>
    </row>
    <row r="36" spans="1:6" ht="15.75" x14ac:dyDescent="0.25">
      <c r="A36" s="2"/>
      <c r="B36" s="2" t="s">
        <v>27</v>
      </c>
      <c r="C36" s="15">
        <v>3404</v>
      </c>
      <c r="D36" s="4"/>
      <c r="E36" s="4"/>
      <c r="F36" s="15"/>
    </row>
    <row r="37" spans="1:6" ht="15.75" x14ac:dyDescent="0.25">
      <c r="A37" s="2"/>
      <c r="B37" s="2" t="s">
        <v>28</v>
      </c>
      <c r="C37" s="15">
        <v>2808</v>
      </c>
      <c r="D37" s="4"/>
      <c r="E37" s="4"/>
      <c r="F37" s="15"/>
    </row>
    <row r="38" spans="1:6" ht="15.75" x14ac:dyDescent="0.25">
      <c r="A38" s="2"/>
      <c r="B38" s="2"/>
      <c r="C38" s="15"/>
      <c r="D38" s="4"/>
      <c r="E38" s="4"/>
      <c r="F38" s="15"/>
    </row>
    <row r="39" spans="1:6" ht="31.5" x14ac:dyDescent="0.5">
      <c r="A39" s="1"/>
      <c r="B39" s="20" t="s">
        <v>29</v>
      </c>
      <c r="C39" s="5"/>
      <c r="D39" s="19"/>
      <c r="E39" s="19"/>
      <c r="F39" s="5"/>
    </row>
    <row r="40" spans="1:6" ht="15.75" x14ac:dyDescent="0.25">
      <c r="A40" s="2"/>
      <c r="B40" s="2" t="s">
        <v>18</v>
      </c>
      <c r="C40" s="15">
        <v>240</v>
      </c>
      <c r="D40" s="4">
        <v>57000</v>
      </c>
      <c r="E40" s="4">
        <f>+C40*D40</f>
        <v>13680000</v>
      </c>
      <c r="F40" s="15"/>
    </row>
    <row r="41" spans="1:6" ht="15.75" x14ac:dyDescent="0.25">
      <c r="A41" s="2"/>
      <c r="B41" s="2" t="s">
        <v>8</v>
      </c>
      <c r="C41" s="15">
        <v>273</v>
      </c>
      <c r="D41" s="4">
        <v>57000</v>
      </c>
      <c r="E41" s="4">
        <f>+C41*D41</f>
        <v>15561000</v>
      </c>
      <c r="F41" s="15"/>
    </row>
    <row r="42" spans="1:6" ht="15.75" x14ac:dyDescent="0.25">
      <c r="A42" s="2"/>
      <c r="B42" s="2" t="s">
        <v>30</v>
      </c>
      <c r="C42" s="15">
        <v>91</v>
      </c>
      <c r="D42" s="4">
        <v>57000</v>
      </c>
      <c r="E42" s="4">
        <f>+C42*D42</f>
        <v>5187000</v>
      </c>
      <c r="F42" s="15"/>
    </row>
    <row r="43" spans="1:6" ht="15.75" x14ac:dyDescent="0.25">
      <c r="A43" s="2"/>
      <c r="B43" s="2" t="s">
        <v>7</v>
      </c>
      <c r="C43" s="15">
        <v>195</v>
      </c>
      <c r="D43" s="4">
        <v>57000</v>
      </c>
      <c r="E43" s="4">
        <f>+C43*D43</f>
        <v>11115000</v>
      </c>
      <c r="F43" s="15"/>
    </row>
    <row r="44" spans="1:6" ht="15.75" x14ac:dyDescent="0.25">
      <c r="A44" s="2"/>
      <c r="B44" s="2"/>
      <c r="C44" s="15">
        <f>SUM(C40:C43)</f>
        <v>799</v>
      </c>
      <c r="D44" s="4"/>
      <c r="E44" s="4"/>
      <c r="F44" s="15"/>
    </row>
    <row r="45" spans="1:6" ht="15.75" x14ac:dyDescent="0.25">
      <c r="A45" s="2"/>
      <c r="B45" s="2"/>
      <c r="C45" s="15"/>
      <c r="D45" s="4"/>
      <c r="E45" s="4"/>
      <c r="F45" s="15"/>
    </row>
    <row r="46" spans="1:6" ht="31.5" x14ac:dyDescent="0.5">
      <c r="A46" s="1"/>
      <c r="B46" s="20" t="s">
        <v>31</v>
      </c>
      <c r="C46" s="5"/>
      <c r="D46" s="19"/>
      <c r="E46" s="19">
        <f>+C46*D46</f>
        <v>0</v>
      </c>
      <c r="F46" s="1"/>
    </row>
    <row r="47" spans="1:6" ht="15.75" x14ac:dyDescent="0.25">
      <c r="A47" s="2">
        <v>1</v>
      </c>
      <c r="B47" s="2" t="s">
        <v>32</v>
      </c>
      <c r="C47" s="15">
        <f>403-160</f>
        <v>243</v>
      </c>
      <c r="D47" s="4">
        <v>15500</v>
      </c>
      <c r="E47" s="4">
        <f>+C47*D47</f>
        <v>3766500</v>
      </c>
      <c r="F47" s="2"/>
    </row>
    <row r="48" spans="1:6" ht="15.75" x14ac:dyDescent="0.25">
      <c r="A48" s="2">
        <v>2</v>
      </c>
      <c r="B48" s="2" t="s">
        <v>33</v>
      </c>
      <c r="C48" s="15">
        <v>459</v>
      </c>
      <c r="D48" s="4">
        <v>24500</v>
      </c>
      <c r="E48" s="4">
        <f t="shared" ref="E48:E106" si="2">+C48*D48</f>
        <v>11245500</v>
      </c>
      <c r="F48" s="2"/>
    </row>
    <row r="49" spans="1:6" ht="15.75" x14ac:dyDescent="0.25">
      <c r="A49" s="2">
        <v>3</v>
      </c>
      <c r="B49" s="2" t="s">
        <v>34</v>
      </c>
      <c r="C49" s="15">
        <v>127</v>
      </c>
      <c r="D49" s="4">
        <v>34750</v>
      </c>
      <c r="E49" s="4">
        <f t="shared" si="2"/>
        <v>4413250</v>
      </c>
      <c r="F49" s="2"/>
    </row>
    <row r="50" spans="1:6" ht="15.75" x14ac:dyDescent="0.25">
      <c r="A50" s="2">
        <v>4</v>
      </c>
      <c r="B50" s="2" t="s">
        <v>35</v>
      </c>
      <c r="C50" s="15">
        <v>42</v>
      </c>
      <c r="D50" s="4">
        <v>39000</v>
      </c>
      <c r="E50" s="4">
        <f t="shared" si="2"/>
        <v>1638000</v>
      </c>
      <c r="F50" s="2"/>
    </row>
    <row r="51" spans="1:6" ht="15.75" x14ac:dyDescent="0.25">
      <c r="A51" s="2">
        <v>5</v>
      </c>
      <c r="B51" s="2" t="s">
        <v>36</v>
      </c>
      <c r="C51" s="15">
        <v>36</v>
      </c>
      <c r="D51" s="4">
        <v>55000</v>
      </c>
      <c r="E51" s="4">
        <f t="shared" si="2"/>
        <v>1980000</v>
      </c>
      <c r="F51" s="2"/>
    </row>
    <row r="52" spans="1:6" ht="15.75" x14ac:dyDescent="0.25">
      <c r="A52" s="2">
        <v>6</v>
      </c>
      <c r="B52" s="2" t="s">
        <v>37</v>
      </c>
      <c r="C52" s="15">
        <v>21</v>
      </c>
      <c r="D52" s="4">
        <v>13750</v>
      </c>
      <c r="E52" s="4">
        <f t="shared" si="2"/>
        <v>288750</v>
      </c>
      <c r="F52" s="2"/>
    </row>
    <row r="53" spans="1:6" ht="15.75" x14ac:dyDescent="0.25">
      <c r="A53" s="2">
        <v>7</v>
      </c>
      <c r="B53" s="2" t="s">
        <v>38</v>
      </c>
      <c r="C53" s="15">
        <v>39</v>
      </c>
      <c r="D53" s="4">
        <v>22000</v>
      </c>
      <c r="E53" s="4">
        <f t="shared" si="2"/>
        <v>858000</v>
      </c>
      <c r="F53" s="2"/>
    </row>
    <row r="54" spans="1:6" ht="15.75" x14ac:dyDescent="0.25">
      <c r="A54" s="2">
        <v>8</v>
      </c>
      <c r="B54" s="2" t="s">
        <v>39</v>
      </c>
      <c r="C54" s="15">
        <v>70</v>
      </c>
      <c r="D54" s="4">
        <v>37000</v>
      </c>
      <c r="E54" s="4">
        <f t="shared" si="2"/>
        <v>2590000</v>
      </c>
      <c r="F54" s="2"/>
    </row>
    <row r="55" spans="1:6" ht="15.75" x14ac:dyDescent="0.25">
      <c r="A55" s="2"/>
      <c r="B55" s="2"/>
      <c r="C55" s="15"/>
      <c r="D55" s="4"/>
      <c r="E55" s="4">
        <f t="shared" si="2"/>
        <v>0</v>
      </c>
      <c r="F55" s="2"/>
    </row>
    <row r="56" spans="1:6" ht="31.5" x14ac:dyDescent="0.5">
      <c r="A56" s="1"/>
      <c r="B56" s="20" t="s">
        <v>40</v>
      </c>
      <c r="C56" s="5"/>
      <c r="D56" s="19"/>
      <c r="E56" s="19">
        <f t="shared" si="2"/>
        <v>0</v>
      </c>
      <c r="F56" s="1"/>
    </row>
    <row r="57" spans="1:6" ht="15.75" x14ac:dyDescent="0.25">
      <c r="A57" s="2">
        <v>1</v>
      </c>
      <c r="B57" s="2" t="s">
        <v>41</v>
      </c>
      <c r="C57" s="15">
        <v>86</v>
      </c>
      <c r="D57" s="4">
        <v>10000</v>
      </c>
      <c r="E57" s="4">
        <f t="shared" si="2"/>
        <v>860000</v>
      </c>
      <c r="F57" s="2"/>
    </row>
    <row r="58" spans="1:6" ht="15.75" x14ac:dyDescent="0.25">
      <c r="A58" s="2">
        <v>2</v>
      </c>
      <c r="B58" s="2" t="s">
        <v>42</v>
      </c>
      <c r="C58" s="15">
        <v>71</v>
      </c>
      <c r="D58" s="4">
        <v>9500</v>
      </c>
      <c r="E58" s="4">
        <f t="shared" si="2"/>
        <v>674500</v>
      </c>
      <c r="F58" s="2"/>
    </row>
    <row r="59" spans="1:6" ht="15.75" x14ac:dyDescent="0.25">
      <c r="A59" s="2">
        <v>3</v>
      </c>
      <c r="B59" s="2" t="s">
        <v>43</v>
      </c>
      <c r="C59" s="15">
        <v>4</v>
      </c>
      <c r="D59" s="4">
        <v>9500</v>
      </c>
      <c r="E59" s="4">
        <f t="shared" si="2"/>
        <v>38000</v>
      </c>
      <c r="F59" s="2"/>
    </row>
    <row r="60" spans="1:6" ht="15.75" x14ac:dyDescent="0.25">
      <c r="A60" s="2">
        <v>4</v>
      </c>
      <c r="B60" s="2" t="s">
        <v>44</v>
      </c>
      <c r="C60" s="15">
        <v>44</v>
      </c>
      <c r="D60" s="4">
        <v>9500</v>
      </c>
      <c r="E60" s="4">
        <f t="shared" si="2"/>
        <v>418000</v>
      </c>
      <c r="F60" s="2"/>
    </row>
    <row r="61" spans="1:6" ht="15.75" x14ac:dyDescent="0.25">
      <c r="A61" s="2">
        <v>5</v>
      </c>
      <c r="B61" s="2" t="s">
        <v>45</v>
      </c>
      <c r="C61" s="15">
        <v>21</v>
      </c>
      <c r="D61" s="4">
        <v>9500</v>
      </c>
      <c r="E61" s="4">
        <f t="shared" si="2"/>
        <v>199500</v>
      </c>
      <c r="F61" s="2"/>
    </row>
    <row r="62" spans="1:6" ht="15.75" x14ac:dyDescent="0.25">
      <c r="A62" s="2">
        <v>6</v>
      </c>
      <c r="B62" s="2" t="s">
        <v>46</v>
      </c>
      <c r="C62" s="15">
        <v>52</v>
      </c>
      <c r="D62" s="4">
        <v>9500</v>
      </c>
      <c r="E62" s="4">
        <f t="shared" si="2"/>
        <v>494000</v>
      </c>
      <c r="F62" s="2"/>
    </row>
    <row r="63" spans="1:6" ht="15.75" x14ac:dyDescent="0.25">
      <c r="A63" s="2">
        <v>7</v>
      </c>
      <c r="B63" s="2" t="s">
        <v>47</v>
      </c>
      <c r="C63" s="15">
        <v>0</v>
      </c>
      <c r="D63" s="4">
        <v>9500</v>
      </c>
      <c r="E63" s="4">
        <f t="shared" si="2"/>
        <v>0</v>
      </c>
      <c r="F63" s="2"/>
    </row>
    <row r="64" spans="1:6" ht="15.75" x14ac:dyDescent="0.25">
      <c r="A64" s="2">
        <v>8</v>
      </c>
      <c r="B64" s="2" t="s">
        <v>48</v>
      </c>
      <c r="C64" s="15">
        <v>40</v>
      </c>
      <c r="D64" s="4">
        <v>9500</v>
      </c>
      <c r="E64" s="4">
        <f t="shared" si="2"/>
        <v>380000</v>
      </c>
      <c r="F64" s="2"/>
    </row>
    <row r="65" spans="1:6" ht="15.75" x14ac:dyDescent="0.25">
      <c r="A65" s="2">
        <v>9</v>
      </c>
      <c r="B65" s="2" t="s">
        <v>49</v>
      </c>
      <c r="C65" s="15">
        <v>16</v>
      </c>
      <c r="D65" s="4">
        <v>9500</v>
      </c>
      <c r="E65" s="4">
        <f t="shared" si="2"/>
        <v>152000</v>
      </c>
      <c r="F65" s="2"/>
    </row>
    <row r="66" spans="1:6" ht="15.75" x14ac:dyDescent="0.25">
      <c r="A66" s="2">
        <v>10</v>
      </c>
      <c r="B66" s="2" t="s">
        <v>50</v>
      </c>
      <c r="C66" s="15">
        <v>191</v>
      </c>
      <c r="D66" s="4">
        <v>11500</v>
      </c>
      <c r="E66" s="4">
        <f t="shared" si="2"/>
        <v>2196500</v>
      </c>
      <c r="F66" s="2"/>
    </row>
    <row r="67" spans="1:6" ht="15.75" x14ac:dyDescent="0.25">
      <c r="A67" s="2">
        <v>11</v>
      </c>
      <c r="B67" s="2" t="s">
        <v>51</v>
      </c>
      <c r="C67" s="15">
        <v>80</v>
      </c>
      <c r="D67" s="4">
        <v>12000</v>
      </c>
      <c r="E67" s="4">
        <f t="shared" si="2"/>
        <v>960000</v>
      </c>
      <c r="F67" s="2"/>
    </row>
    <row r="68" spans="1:6" ht="15.75" x14ac:dyDescent="0.25">
      <c r="A68" s="2">
        <v>12</v>
      </c>
      <c r="B68" s="2" t="s">
        <v>52</v>
      </c>
      <c r="C68" s="15">
        <v>67</v>
      </c>
      <c r="D68" s="4">
        <v>12000</v>
      </c>
      <c r="E68" s="4">
        <f t="shared" si="2"/>
        <v>804000</v>
      </c>
      <c r="F68" s="2"/>
    </row>
    <row r="69" spans="1:6" ht="15.75" x14ac:dyDescent="0.25">
      <c r="A69" s="2">
        <v>13</v>
      </c>
      <c r="B69" s="2" t="s">
        <v>53</v>
      </c>
      <c r="C69" s="15">
        <v>31</v>
      </c>
      <c r="D69" s="4">
        <v>12000</v>
      </c>
      <c r="E69" s="4">
        <f t="shared" si="2"/>
        <v>372000</v>
      </c>
      <c r="F69" s="2"/>
    </row>
    <row r="70" spans="1:6" ht="15.75" x14ac:dyDescent="0.25">
      <c r="A70" s="2">
        <v>14</v>
      </c>
      <c r="B70" s="2" t="s">
        <v>54</v>
      </c>
      <c r="C70" s="15">
        <v>43</v>
      </c>
      <c r="D70" s="4">
        <v>12000</v>
      </c>
      <c r="E70" s="4">
        <f t="shared" si="2"/>
        <v>516000</v>
      </c>
      <c r="F70" s="2"/>
    </row>
    <row r="71" spans="1:6" ht="15.75" x14ac:dyDescent="0.25">
      <c r="A71" s="2">
        <v>15</v>
      </c>
      <c r="B71" s="2" t="s">
        <v>55</v>
      </c>
      <c r="C71" s="15">
        <v>14</v>
      </c>
      <c r="D71" s="4">
        <v>16500</v>
      </c>
      <c r="E71" s="4">
        <f t="shared" si="2"/>
        <v>231000</v>
      </c>
      <c r="F71" s="2"/>
    </row>
    <row r="72" spans="1:6" ht="15.75" x14ac:dyDescent="0.25">
      <c r="A72" s="2">
        <v>16</v>
      </c>
      <c r="B72" s="2" t="s">
        <v>56</v>
      </c>
      <c r="C72" s="15">
        <v>40</v>
      </c>
      <c r="D72" s="4">
        <v>16500</v>
      </c>
      <c r="E72" s="4">
        <f t="shared" si="2"/>
        <v>660000</v>
      </c>
      <c r="F72" s="2"/>
    </row>
    <row r="73" spans="1:6" ht="15.75" x14ac:dyDescent="0.25">
      <c r="A73" s="2">
        <v>17</v>
      </c>
      <c r="B73" s="2" t="s">
        <v>57</v>
      </c>
      <c r="C73" s="15">
        <v>103</v>
      </c>
      <c r="D73" s="4">
        <v>16500</v>
      </c>
      <c r="E73" s="4">
        <f t="shared" si="2"/>
        <v>1699500</v>
      </c>
      <c r="F73" s="2"/>
    </row>
    <row r="74" spans="1:6" ht="15.75" x14ac:dyDescent="0.25">
      <c r="A74" s="2">
        <v>18</v>
      </c>
      <c r="B74" s="2" t="s">
        <v>58</v>
      </c>
      <c r="C74" s="15">
        <v>40</v>
      </c>
      <c r="D74" s="4">
        <v>16500</v>
      </c>
      <c r="E74" s="4">
        <f t="shared" si="2"/>
        <v>660000</v>
      </c>
      <c r="F74" s="2"/>
    </row>
    <row r="75" spans="1:6" ht="15.75" x14ac:dyDescent="0.25">
      <c r="A75" s="2">
        <v>19</v>
      </c>
      <c r="B75" s="2" t="s">
        <v>59</v>
      </c>
      <c r="C75" s="15">
        <v>61</v>
      </c>
      <c r="D75" s="4">
        <v>16500</v>
      </c>
      <c r="E75" s="4">
        <f t="shared" si="2"/>
        <v>1006500</v>
      </c>
      <c r="F75" s="2"/>
    </row>
    <row r="76" spans="1:6" ht="15.75" x14ac:dyDescent="0.25">
      <c r="A76" s="2">
        <v>20</v>
      </c>
      <c r="B76" s="2" t="s">
        <v>60</v>
      </c>
      <c r="C76" s="15">
        <v>167</v>
      </c>
      <c r="D76" s="4">
        <v>17800</v>
      </c>
      <c r="E76" s="4">
        <f t="shared" si="2"/>
        <v>2972600</v>
      </c>
      <c r="F76" s="2"/>
    </row>
    <row r="77" spans="1:6" ht="15.75" x14ac:dyDescent="0.25">
      <c r="A77" s="2">
        <v>21</v>
      </c>
      <c r="B77" s="2" t="s">
        <v>61</v>
      </c>
      <c r="C77" s="15">
        <v>65</v>
      </c>
      <c r="D77" s="4">
        <v>17800</v>
      </c>
      <c r="E77" s="4">
        <f t="shared" si="2"/>
        <v>1157000</v>
      </c>
      <c r="F77" s="2"/>
    </row>
    <row r="78" spans="1:6" ht="15.75" x14ac:dyDescent="0.25">
      <c r="A78" s="2">
        <v>22</v>
      </c>
      <c r="B78" s="2" t="s">
        <v>62</v>
      </c>
      <c r="C78" s="15">
        <v>20</v>
      </c>
      <c r="D78" s="4">
        <v>18800</v>
      </c>
      <c r="E78" s="4">
        <f t="shared" si="2"/>
        <v>376000</v>
      </c>
      <c r="F78" s="2"/>
    </row>
    <row r="79" spans="1:6" ht="15.75" x14ac:dyDescent="0.25">
      <c r="A79" s="2"/>
      <c r="B79" s="2" t="s">
        <v>63</v>
      </c>
      <c r="C79" s="15">
        <v>20</v>
      </c>
      <c r="D79" s="4">
        <v>18800</v>
      </c>
      <c r="E79" s="4">
        <f t="shared" si="2"/>
        <v>376000</v>
      </c>
      <c r="F79" s="2"/>
    </row>
    <row r="80" spans="1:6" ht="15.75" x14ac:dyDescent="0.25">
      <c r="A80" s="2">
        <v>23</v>
      </c>
      <c r="B80" s="2" t="s">
        <v>64</v>
      </c>
      <c r="C80" s="15">
        <v>20</v>
      </c>
      <c r="D80" s="4">
        <v>18800</v>
      </c>
      <c r="E80" s="4">
        <f t="shared" si="2"/>
        <v>376000</v>
      </c>
      <c r="F80" s="2"/>
    </row>
    <row r="81" spans="1:6" ht="15.75" x14ac:dyDescent="0.25">
      <c r="A81" s="2">
        <v>24</v>
      </c>
      <c r="B81" s="2" t="s">
        <v>65</v>
      </c>
      <c r="C81" s="15">
        <v>20</v>
      </c>
      <c r="D81" s="4">
        <v>18800</v>
      </c>
      <c r="E81" s="4">
        <f t="shared" si="2"/>
        <v>376000</v>
      </c>
      <c r="F81" s="2"/>
    </row>
    <row r="82" spans="1:6" ht="15.75" x14ac:dyDescent="0.25">
      <c r="A82" s="2">
        <v>25</v>
      </c>
      <c r="B82" s="2" t="s">
        <v>66</v>
      </c>
      <c r="C82" s="15">
        <v>20</v>
      </c>
      <c r="D82" s="4">
        <v>18800</v>
      </c>
      <c r="E82" s="4">
        <f t="shared" si="2"/>
        <v>376000</v>
      </c>
      <c r="F82" s="2"/>
    </row>
    <row r="83" spans="1:6" ht="15.75" x14ac:dyDescent="0.25">
      <c r="A83" s="2">
        <v>26</v>
      </c>
      <c r="B83" s="2" t="s">
        <v>67</v>
      </c>
      <c r="C83" s="15">
        <v>0</v>
      </c>
      <c r="D83" s="4">
        <v>18800</v>
      </c>
      <c r="E83" s="4">
        <f t="shared" si="2"/>
        <v>0</v>
      </c>
      <c r="F83" s="2"/>
    </row>
    <row r="84" spans="1:6" ht="15.75" x14ac:dyDescent="0.25">
      <c r="A84" s="2">
        <v>30</v>
      </c>
      <c r="B84" s="2" t="s">
        <v>68</v>
      </c>
      <c r="C84" s="15">
        <v>94</v>
      </c>
      <c r="D84" s="4">
        <v>26900</v>
      </c>
      <c r="E84" s="4">
        <f t="shared" si="2"/>
        <v>2528600</v>
      </c>
      <c r="F84" s="2">
        <v>9</v>
      </c>
    </row>
    <row r="85" spans="1:6" ht="15.75" x14ac:dyDescent="0.25">
      <c r="A85" s="2">
        <v>31</v>
      </c>
      <c r="B85" s="2" t="s">
        <v>69</v>
      </c>
      <c r="C85" s="15">
        <v>9</v>
      </c>
      <c r="D85" s="4">
        <v>26900</v>
      </c>
      <c r="E85" s="4">
        <f t="shared" si="2"/>
        <v>242100</v>
      </c>
      <c r="F85" s="2">
        <v>2</v>
      </c>
    </row>
    <row r="86" spans="1:6" ht="15.75" x14ac:dyDescent="0.25">
      <c r="A86" s="2">
        <v>32</v>
      </c>
      <c r="B86" s="2" t="s">
        <v>70</v>
      </c>
      <c r="C86" s="15">
        <v>5</v>
      </c>
      <c r="D86" s="4">
        <v>26900</v>
      </c>
      <c r="E86" s="4">
        <f t="shared" si="2"/>
        <v>134500</v>
      </c>
      <c r="F86" s="2">
        <v>1</v>
      </c>
    </row>
    <row r="87" spans="1:6" ht="15.75" x14ac:dyDescent="0.25">
      <c r="A87" s="2">
        <v>33</v>
      </c>
      <c r="B87" s="2" t="s">
        <v>71</v>
      </c>
      <c r="C87" s="15">
        <v>8</v>
      </c>
      <c r="D87" s="4">
        <v>26900</v>
      </c>
      <c r="E87" s="4">
        <f t="shared" si="2"/>
        <v>215200</v>
      </c>
      <c r="F87" s="2">
        <v>8</v>
      </c>
    </row>
    <row r="88" spans="1:6" ht="15.75" x14ac:dyDescent="0.25">
      <c r="A88" s="2">
        <v>27</v>
      </c>
      <c r="B88" s="2" t="s">
        <v>72</v>
      </c>
      <c r="C88" s="15">
        <v>1</v>
      </c>
      <c r="D88" s="4">
        <v>36800</v>
      </c>
      <c r="E88" s="4">
        <f t="shared" si="2"/>
        <v>36800</v>
      </c>
      <c r="F88" s="2"/>
    </row>
    <row r="89" spans="1:6" ht="15.75" x14ac:dyDescent="0.25">
      <c r="A89" s="2">
        <v>28</v>
      </c>
      <c r="B89" s="2" t="s">
        <v>73</v>
      </c>
      <c r="C89" s="15">
        <v>2</v>
      </c>
      <c r="D89" s="4">
        <v>36800</v>
      </c>
      <c r="E89" s="4">
        <f t="shared" si="2"/>
        <v>73600</v>
      </c>
      <c r="F89" s="2"/>
    </row>
    <row r="90" spans="1:6" ht="15.75" x14ac:dyDescent="0.25">
      <c r="A90" s="2">
        <v>29</v>
      </c>
      <c r="B90" s="2" t="s">
        <v>74</v>
      </c>
      <c r="C90" s="15">
        <v>33</v>
      </c>
      <c r="D90" s="4">
        <v>36800</v>
      </c>
      <c r="E90" s="4">
        <f t="shared" si="2"/>
        <v>1214400</v>
      </c>
      <c r="F90" s="2"/>
    </row>
    <row r="91" spans="1:6" ht="15.75" x14ac:dyDescent="0.25">
      <c r="A91" s="2">
        <v>34</v>
      </c>
      <c r="B91" s="2" t="s">
        <v>75</v>
      </c>
      <c r="C91" s="15">
        <v>8</v>
      </c>
      <c r="D91" s="4">
        <v>99000</v>
      </c>
      <c r="E91" s="4">
        <f t="shared" si="2"/>
        <v>792000</v>
      </c>
      <c r="F91" s="2"/>
    </row>
    <row r="92" spans="1:6" ht="15.75" x14ac:dyDescent="0.25">
      <c r="A92" s="2">
        <v>35</v>
      </c>
      <c r="B92" s="2" t="s">
        <v>76</v>
      </c>
      <c r="C92" s="15">
        <v>20</v>
      </c>
      <c r="D92" s="4">
        <v>65500</v>
      </c>
      <c r="E92" s="4">
        <f t="shared" si="2"/>
        <v>1310000</v>
      </c>
      <c r="F92" s="2"/>
    </row>
    <row r="93" spans="1:6" ht="15.75" x14ac:dyDescent="0.25">
      <c r="A93" s="2">
        <v>36</v>
      </c>
      <c r="B93" s="2" t="s">
        <v>77</v>
      </c>
      <c r="C93" s="15">
        <v>26</v>
      </c>
      <c r="D93" s="4">
        <v>65500</v>
      </c>
      <c r="E93" s="4">
        <f t="shared" si="2"/>
        <v>1703000</v>
      </c>
      <c r="F93" s="2"/>
    </row>
    <row r="94" spans="1:6" ht="15.75" x14ac:dyDescent="0.25">
      <c r="A94" s="2">
        <v>37</v>
      </c>
      <c r="B94" s="2" t="s">
        <v>78</v>
      </c>
      <c r="C94" s="15">
        <v>1</v>
      </c>
      <c r="D94" s="4">
        <v>65500</v>
      </c>
      <c r="E94" s="4">
        <f t="shared" si="2"/>
        <v>65500</v>
      </c>
      <c r="F94" s="2"/>
    </row>
    <row r="95" spans="1:6" ht="15.75" x14ac:dyDescent="0.25">
      <c r="A95" s="2">
        <v>38</v>
      </c>
      <c r="B95" s="2" t="s">
        <v>79</v>
      </c>
      <c r="C95" s="15">
        <v>4</v>
      </c>
      <c r="D95" s="4">
        <v>104500</v>
      </c>
      <c r="E95" s="4">
        <f t="shared" si="2"/>
        <v>418000</v>
      </c>
      <c r="F95" s="2"/>
    </row>
    <row r="96" spans="1:6" ht="15.75" x14ac:dyDescent="0.25">
      <c r="A96" s="2">
        <v>39</v>
      </c>
      <c r="B96" s="2" t="s">
        <v>80</v>
      </c>
      <c r="C96" s="15">
        <v>1</v>
      </c>
      <c r="D96" s="4">
        <v>230000</v>
      </c>
      <c r="E96" s="4">
        <f t="shared" si="2"/>
        <v>230000</v>
      </c>
      <c r="F96" s="2"/>
    </row>
    <row r="97" spans="1:6" ht="15.75" x14ac:dyDescent="0.25">
      <c r="A97" s="2">
        <v>40</v>
      </c>
      <c r="B97" s="2" t="s">
        <v>81</v>
      </c>
      <c r="C97" s="15">
        <v>0</v>
      </c>
      <c r="D97" s="4">
        <v>230000</v>
      </c>
      <c r="E97" s="4">
        <f t="shared" si="2"/>
        <v>0</v>
      </c>
      <c r="F97" s="2"/>
    </row>
    <row r="98" spans="1:6" ht="15.75" x14ac:dyDescent="0.25">
      <c r="A98" s="2">
        <v>41</v>
      </c>
      <c r="B98" s="2" t="s">
        <v>82</v>
      </c>
      <c r="C98" s="15">
        <v>0</v>
      </c>
      <c r="D98" s="4">
        <v>230000</v>
      </c>
      <c r="E98" s="4">
        <f t="shared" si="2"/>
        <v>0</v>
      </c>
      <c r="F98" s="2"/>
    </row>
    <row r="99" spans="1:6" ht="15.75" x14ac:dyDescent="0.25">
      <c r="A99" s="2"/>
      <c r="B99" s="2" t="s">
        <v>83</v>
      </c>
      <c r="C99" s="15">
        <v>2</v>
      </c>
      <c r="D99" s="4">
        <v>230000</v>
      </c>
      <c r="E99" s="4">
        <f>+C99*D99</f>
        <v>460000</v>
      </c>
      <c r="F99" s="2"/>
    </row>
    <row r="100" spans="1:6" ht="15.75" x14ac:dyDescent="0.25">
      <c r="A100" s="2"/>
      <c r="B100" s="2"/>
      <c r="C100" s="15"/>
      <c r="D100" s="4"/>
      <c r="E100" s="4">
        <f t="shared" si="2"/>
        <v>0</v>
      </c>
      <c r="F100" s="2"/>
    </row>
    <row r="101" spans="1:6" ht="31.5" x14ac:dyDescent="0.5">
      <c r="A101" s="1"/>
      <c r="B101" s="20" t="s">
        <v>84</v>
      </c>
      <c r="C101" s="5"/>
      <c r="D101" s="19"/>
      <c r="E101" s="19">
        <f t="shared" si="2"/>
        <v>0</v>
      </c>
      <c r="F101" s="1"/>
    </row>
    <row r="102" spans="1:6" ht="15.75" x14ac:dyDescent="0.25">
      <c r="A102" s="2"/>
      <c r="B102" s="2" t="s">
        <v>85</v>
      </c>
      <c r="C102" s="15">
        <v>1</v>
      </c>
      <c r="D102" s="4">
        <v>100000</v>
      </c>
      <c r="E102" s="4">
        <f>+C102*D102</f>
        <v>100000</v>
      </c>
      <c r="F102" s="2"/>
    </row>
    <row r="103" spans="1:6" ht="15.75" x14ac:dyDescent="0.25">
      <c r="A103" s="2"/>
      <c r="B103" s="2" t="s">
        <v>11</v>
      </c>
      <c r="C103" s="15">
        <v>12</v>
      </c>
      <c r="D103" s="4"/>
      <c r="E103" s="4"/>
      <c r="F103" s="2"/>
    </row>
    <row r="104" spans="1:6" ht="15.75" x14ac:dyDescent="0.25">
      <c r="A104" s="2"/>
      <c r="B104" s="2" t="s">
        <v>86</v>
      </c>
      <c r="C104" s="15">
        <v>12</v>
      </c>
      <c r="D104" s="4"/>
      <c r="E104" s="4"/>
      <c r="F104" s="2"/>
    </row>
    <row r="105" spans="1:6" ht="15.75" x14ac:dyDescent="0.25">
      <c r="A105" s="2"/>
      <c r="B105" s="2"/>
      <c r="C105" s="15">
        <f>SUM(C102:C104)</f>
        <v>25</v>
      </c>
      <c r="D105" s="4"/>
      <c r="E105" s="4"/>
      <c r="F105" s="2"/>
    </row>
    <row r="106" spans="1:6" ht="31.5" x14ac:dyDescent="0.5">
      <c r="A106" s="1"/>
      <c r="B106" s="20" t="s">
        <v>87</v>
      </c>
      <c r="C106" s="5"/>
      <c r="D106" s="19"/>
      <c r="E106" s="19">
        <f t="shared" si="2"/>
        <v>0</v>
      </c>
      <c r="F106" s="1"/>
    </row>
    <row r="107" spans="1:6" ht="15.75" x14ac:dyDescent="0.25">
      <c r="A107" s="2"/>
      <c r="B107" s="2" t="s">
        <v>7</v>
      </c>
      <c r="C107" s="15">
        <v>1</v>
      </c>
      <c r="D107" s="4"/>
      <c r="E107" s="4"/>
      <c r="F107" s="2"/>
    </row>
    <row r="108" spans="1:6" ht="15.75" x14ac:dyDescent="0.25">
      <c r="A108" s="2"/>
      <c r="B108" s="2" t="s">
        <v>88</v>
      </c>
      <c r="C108" s="15">
        <v>12</v>
      </c>
      <c r="D108" s="4"/>
      <c r="E108" s="4"/>
      <c r="F108" s="2"/>
    </row>
    <row r="109" spans="1:6" ht="15.75" x14ac:dyDescent="0.25">
      <c r="A109" s="2"/>
      <c r="B109" s="2" t="s">
        <v>89</v>
      </c>
      <c r="C109" s="15">
        <v>12</v>
      </c>
      <c r="D109" s="4"/>
      <c r="E109" s="4"/>
      <c r="F109" s="2"/>
    </row>
    <row r="110" spans="1:6" ht="15.75" x14ac:dyDescent="0.25">
      <c r="A110" s="2"/>
      <c r="B110" s="2" t="s">
        <v>90</v>
      </c>
      <c r="C110" s="15">
        <v>12</v>
      </c>
      <c r="D110" s="4"/>
      <c r="E110" s="4"/>
      <c r="F110" s="2"/>
    </row>
    <row r="111" spans="1:6" ht="15.75" x14ac:dyDescent="0.25">
      <c r="A111" s="2"/>
      <c r="B111" s="2"/>
      <c r="C111" s="15"/>
      <c r="D111" s="4"/>
      <c r="E111" s="4"/>
      <c r="F111" s="2"/>
    </row>
    <row r="112" spans="1:6" ht="15.75" x14ac:dyDescent="0.25">
      <c r="A112" s="2"/>
      <c r="B112" s="2"/>
      <c r="C112" s="15"/>
      <c r="D112" s="4"/>
      <c r="E112" s="4"/>
      <c r="F112" s="2"/>
    </row>
    <row r="113" spans="1:6" ht="15.75" x14ac:dyDescent="0.25">
      <c r="A113" s="2"/>
      <c r="B113" s="2"/>
      <c r="C113" s="15">
        <f>SUM(C107:C110)</f>
        <v>37</v>
      </c>
      <c r="D113" s="4"/>
      <c r="E113" s="4"/>
      <c r="F113" s="2"/>
    </row>
    <row r="114" spans="1:6" ht="31.5" x14ac:dyDescent="0.5">
      <c r="A114" s="1"/>
      <c r="B114" s="20" t="s">
        <v>91</v>
      </c>
      <c r="C114" s="5"/>
      <c r="D114" s="19"/>
      <c r="E114" s="19">
        <f t="shared" ref="E114:E177" si="3">+C114*D114</f>
        <v>0</v>
      </c>
      <c r="F114" s="1"/>
    </row>
    <row r="115" spans="1:6" ht="15.75" x14ac:dyDescent="0.25">
      <c r="A115" s="2"/>
      <c r="B115" s="2" t="s">
        <v>92</v>
      </c>
      <c r="C115" s="15">
        <v>6</v>
      </c>
      <c r="D115" s="4">
        <v>183500</v>
      </c>
      <c r="E115" s="4">
        <f>+C115*D115</f>
        <v>1101000</v>
      </c>
      <c r="F115" s="2"/>
    </row>
    <row r="116" spans="1:6" ht="15.75" x14ac:dyDescent="0.25">
      <c r="A116" s="2"/>
      <c r="B116" s="2" t="s">
        <v>86</v>
      </c>
      <c r="C116" s="15">
        <v>6</v>
      </c>
      <c r="D116" s="4"/>
      <c r="E116" s="4"/>
      <c r="F116" s="2"/>
    </row>
    <row r="117" spans="1:6" ht="15.75" x14ac:dyDescent="0.25">
      <c r="A117" s="2"/>
      <c r="B117" s="2" t="s">
        <v>93</v>
      </c>
      <c r="C117" s="15">
        <v>6</v>
      </c>
      <c r="D117" s="4"/>
      <c r="E117" s="4"/>
      <c r="F117" s="2"/>
    </row>
    <row r="118" spans="1:6" ht="15.75" x14ac:dyDescent="0.25">
      <c r="A118" s="2"/>
      <c r="B118" s="2"/>
      <c r="C118" s="15">
        <f>SUM(C115:C117)</f>
        <v>18</v>
      </c>
      <c r="D118" s="4"/>
      <c r="E118" s="4"/>
      <c r="F118" s="2"/>
    </row>
    <row r="119" spans="1:6" ht="15.75" x14ac:dyDescent="0.25">
      <c r="A119" s="2"/>
      <c r="B119" s="2"/>
      <c r="C119" s="15"/>
      <c r="D119" s="4"/>
      <c r="E119" s="4">
        <f t="shared" si="3"/>
        <v>0</v>
      </c>
      <c r="F119" s="2"/>
    </row>
    <row r="120" spans="1:6" ht="31.5" x14ac:dyDescent="0.5">
      <c r="A120" s="1"/>
      <c r="B120" s="20" t="s">
        <v>94</v>
      </c>
      <c r="C120" s="5"/>
      <c r="D120" s="19"/>
      <c r="E120" s="19">
        <f t="shared" si="3"/>
        <v>0</v>
      </c>
      <c r="F120" s="1"/>
    </row>
    <row r="121" spans="1:6" ht="15.75" x14ac:dyDescent="0.25">
      <c r="A121" s="2"/>
      <c r="B121" s="2" t="s">
        <v>86</v>
      </c>
      <c r="C121" s="15">
        <v>2</v>
      </c>
      <c r="D121" s="4">
        <v>55000</v>
      </c>
      <c r="E121" s="4">
        <f t="shared" si="3"/>
        <v>110000</v>
      </c>
      <c r="F121" s="2"/>
    </row>
    <row r="122" spans="1:6" ht="15.75" x14ac:dyDescent="0.25">
      <c r="A122" s="2"/>
      <c r="B122" s="2" t="s">
        <v>24</v>
      </c>
      <c r="C122" s="15">
        <v>22</v>
      </c>
      <c r="D122" s="4">
        <v>55000</v>
      </c>
      <c r="E122" s="4">
        <f t="shared" si="3"/>
        <v>1210000</v>
      </c>
      <c r="F122" s="2"/>
    </row>
    <row r="123" spans="1:6" ht="15.75" x14ac:dyDescent="0.25">
      <c r="A123" s="2"/>
      <c r="B123" s="2" t="s">
        <v>18</v>
      </c>
      <c r="C123" s="15">
        <v>5</v>
      </c>
      <c r="D123" s="4">
        <v>55000</v>
      </c>
      <c r="E123" s="4">
        <f t="shared" si="3"/>
        <v>275000</v>
      </c>
      <c r="F123" s="2"/>
    </row>
    <row r="124" spans="1:6" ht="15.75" x14ac:dyDescent="0.25">
      <c r="A124" s="2"/>
      <c r="B124" s="2" t="s">
        <v>8</v>
      </c>
      <c r="C124" s="15">
        <v>1</v>
      </c>
      <c r="D124" s="4">
        <v>55000</v>
      </c>
      <c r="E124" s="4">
        <f t="shared" si="3"/>
        <v>55000</v>
      </c>
      <c r="F124" s="2"/>
    </row>
    <row r="125" spans="1:6" ht="15.75" x14ac:dyDescent="0.25">
      <c r="A125" s="2"/>
      <c r="B125" s="2"/>
      <c r="C125" s="15">
        <f>SUM(C121:C124)</f>
        <v>30</v>
      </c>
      <c r="D125" s="4"/>
      <c r="E125" s="4">
        <f t="shared" si="3"/>
        <v>0</v>
      </c>
      <c r="F125" s="2"/>
    </row>
    <row r="126" spans="1:6" ht="31.5" x14ac:dyDescent="0.5">
      <c r="A126" s="1"/>
      <c r="B126" s="20" t="s">
        <v>95</v>
      </c>
      <c r="C126" s="5"/>
      <c r="D126" s="19"/>
      <c r="E126" s="19">
        <f t="shared" si="3"/>
        <v>0</v>
      </c>
      <c r="F126" s="1"/>
    </row>
    <row r="127" spans="1:6" ht="15.75" x14ac:dyDescent="0.25">
      <c r="A127" s="2"/>
      <c r="B127" s="2" t="s">
        <v>86</v>
      </c>
      <c r="C127" s="15">
        <v>0</v>
      </c>
      <c r="D127" s="4">
        <v>100300</v>
      </c>
      <c r="E127" s="4">
        <f t="shared" si="3"/>
        <v>0</v>
      </c>
      <c r="F127" s="2"/>
    </row>
    <row r="128" spans="1:6" ht="15.75" x14ac:dyDescent="0.25">
      <c r="A128" s="2"/>
      <c r="B128" s="2" t="s">
        <v>18</v>
      </c>
      <c r="C128" s="15">
        <v>0</v>
      </c>
      <c r="D128" s="4">
        <v>100300</v>
      </c>
      <c r="E128" s="4">
        <f t="shared" si="3"/>
        <v>0</v>
      </c>
      <c r="F128" s="2"/>
    </row>
    <row r="129" spans="1:6" ht="15.75" x14ac:dyDescent="0.25">
      <c r="A129" s="2"/>
      <c r="B129" s="2"/>
      <c r="C129" s="15">
        <f>SUM(C127:C128)</f>
        <v>0</v>
      </c>
      <c r="D129" s="4"/>
      <c r="E129" s="4">
        <f t="shared" si="3"/>
        <v>0</v>
      </c>
      <c r="F129" s="2"/>
    </row>
    <row r="130" spans="1:6" ht="31.5" x14ac:dyDescent="0.5">
      <c r="A130" s="1"/>
      <c r="B130" s="20" t="s">
        <v>96</v>
      </c>
      <c r="C130" s="5"/>
      <c r="D130" s="19"/>
      <c r="E130" s="19">
        <f t="shared" si="3"/>
        <v>0</v>
      </c>
      <c r="F130" s="1"/>
    </row>
    <row r="131" spans="1:6" ht="15.75" x14ac:dyDescent="0.25">
      <c r="A131" s="2"/>
      <c r="B131" s="2" t="s">
        <v>86</v>
      </c>
      <c r="C131" s="15">
        <v>24</v>
      </c>
      <c r="D131" s="4">
        <v>158000</v>
      </c>
      <c r="E131" s="4">
        <f>+C131*D131</f>
        <v>3792000</v>
      </c>
      <c r="F131" s="2"/>
    </row>
    <row r="132" spans="1:6" ht="15.75" x14ac:dyDescent="0.25">
      <c r="A132" s="2"/>
      <c r="B132" s="2" t="s">
        <v>18</v>
      </c>
      <c r="C132" s="15">
        <v>0</v>
      </c>
      <c r="D132" s="4">
        <v>158000</v>
      </c>
      <c r="E132" s="4">
        <f>+C132*D132</f>
        <v>0</v>
      </c>
      <c r="F132" s="2"/>
    </row>
    <row r="133" spans="1:6" ht="15.75" x14ac:dyDescent="0.25">
      <c r="A133" s="2"/>
      <c r="B133" s="2" t="s">
        <v>8</v>
      </c>
      <c r="C133" s="15">
        <v>16</v>
      </c>
      <c r="D133" s="4">
        <v>158000</v>
      </c>
      <c r="E133" s="4">
        <f>+C133*D133</f>
        <v>2528000</v>
      </c>
      <c r="F133" s="2"/>
    </row>
    <row r="134" spans="1:6" ht="15.75" x14ac:dyDescent="0.25">
      <c r="A134" s="2"/>
      <c r="B134" s="2"/>
      <c r="C134" s="15">
        <f>SUM(C131:C133)</f>
        <v>40</v>
      </c>
      <c r="D134" s="4"/>
      <c r="E134" s="4"/>
      <c r="F134" s="2"/>
    </row>
    <row r="135" spans="1:6" ht="15.75" x14ac:dyDescent="0.25">
      <c r="A135" s="2"/>
      <c r="B135" s="2"/>
      <c r="C135" s="15"/>
      <c r="D135" s="4"/>
      <c r="E135" s="4"/>
      <c r="F135" s="2"/>
    </row>
    <row r="136" spans="1:6" ht="15.75" x14ac:dyDescent="0.25">
      <c r="A136" s="2"/>
      <c r="B136" s="2"/>
      <c r="C136" s="15"/>
      <c r="D136" s="4"/>
      <c r="E136" s="4"/>
      <c r="F136" s="2"/>
    </row>
    <row r="137" spans="1:6" ht="15.75" x14ac:dyDescent="0.25">
      <c r="A137" s="2"/>
      <c r="B137" s="2" t="s">
        <v>97</v>
      </c>
      <c r="C137" s="15">
        <v>69</v>
      </c>
      <c r="D137" s="4"/>
      <c r="E137" s="4"/>
      <c r="F137" s="2"/>
    </row>
    <row r="138" spans="1:6" ht="15.75" x14ac:dyDescent="0.25">
      <c r="A138" s="2"/>
      <c r="B138" s="2" t="s">
        <v>98</v>
      </c>
      <c r="C138" s="15">
        <v>21</v>
      </c>
      <c r="D138" s="4"/>
      <c r="E138" s="4"/>
      <c r="F138" s="2"/>
    </row>
    <row r="139" spans="1:6" ht="15.75" x14ac:dyDescent="0.25">
      <c r="A139" s="2"/>
      <c r="B139" s="2" t="s">
        <v>99</v>
      </c>
      <c r="C139" s="15">
        <v>58</v>
      </c>
      <c r="D139" s="4"/>
      <c r="E139" s="4"/>
      <c r="F139" s="2"/>
    </row>
    <row r="140" spans="1:6" ht="15.75" x14ac:dyDescent="0.25">
      <c r="A140" s="2"/>
      <c r="B140" s="2"/>
      <c r="C140" s="15"/>
      <c r="D140" s="4"/>
      <c r="E140" s="4">
        <f t="shared" si="3"/>
        <v>0</v>
      </c>
      <c r="F140" s="2"/>
    </row>
    <row r="141" spans="1:6" ht="31.5" x14ac:dyDescent="0.5">
      <c r="A141" s="1"/>
      <c r="B141" s="20" t="s">
        <v>100</v>
      </c>
      <c r="C141" s="5"/>
      <c r="D141" s="19"/>
      <c r="E141" s="19">
        <f t="shared" si="3"/>
        <v>0</v>
      </c>
      <c r="F141" s="1"/>
    </row>
    <row r="142" spans="1:6" ht="15.75" x14ac:dyDescent="0.25">
      <c r="A142" s="2">
        <v>1</v>
      </c>
      <c r="B142" s="2" t="s">
        <v>11</v>
      </c>
      <c r="C142" s="15">
        <v>0</v>
      </c>
      <c r="D142" s="4">
        <v>34000</v>
      </c>
      <c r="E142" s="4">
        <f t="shared" si="3"/>
        <v>0</v>
      </c>
      <c r="F142" s="2"/>
    </row>
    <row r="143" spans="1:6" ht="15.75" x14ac:dyDescent="0.25">
      <c r="A143" s="2">
        <v>2</v>
      </c>
      <c r="B143" s="2" t="s">
        <v>101</v>
      </c>
      <c r="C143" s="15">
        <v>19</v>
      </c>
      <c r="D143" s="4">
        <v>34000</v>
      </c>
      <c r="E143" s="4">
        <f t="shared" si="3"/>
        <v>646000</v>
      </c>
      <c r="F143" s="2"/>
    </row>
    <row r="144" spans="1:6" ht="15.75" x14ac:dyDescent="0.25">
      <c r="A144" s="2">
        <v>3</v>
      </c>
      <c r="B144" s="2" t="s">
        <v>24</v>
      </c>
      <c r="C144" s="15">
        <v>25</v>
      </c>
      <c r="D144" s="4">
        <v>34000</v>
      </c>
      <c r="E144" s="4">
        <f t="shared" si="3"/>
        <v>850000</v>
      </c>
      <c r="F144" s="2"/>
    </row>
    <row r="145" spans="1:6" ht="15.75" x14ac:dyDescent="0.25">
      <c r="A145" s="2"/>
      <c r="B145" s="2"/>
      <c r="C145" s="15">
        <f>SUM(C142:C144)</f>
        <v>44</v>
      </c>
      <c r="D145" s="4"/>
      <c r="E145" s="4">
        <f t="shared" si="3"/>
        <v>0</v>
      </c>
      <c r="F145" s="2"/>
    </row>
    <row r="146" spans="1:6" ht="31.5" x14ac:dyDescent="0.5">
      <c r="A146" s="1"/>
      <c r="B146" s="20" t="s">
        <v>102</v>
      </c>
      <c r="C146" s="5"/>
      <c r="D146" s="19"/>
      <c r="E146" s="19">
        <f t="shared" si="3"/>
        <v>0</v>
      </c>
      <c r="F146" s="1"/>
    </row>
    <row r="147" spans="1:6" ht="15.75" x14ac:dyDescent="0.25">
      <c r="A147" s="2">
        <v>1</v>
      </c>
      <c r="B147" s="2" t="s">
        <v>24</v>
      </c>
      <c r="C147" s="15">
        <v>37</v>
      </c>
      <c r="D147" s="4">
        <v>17000</v>
      </c>
      <c r="E147" s="4">
        <f t="shared" si="3"/>
        <v>629000</v>
      </c>
      <c r="F147" s="15">
        <v>73</v>
      </c>
    </row>
    <row r="148" spans="1:6" ht="15.75" x14ac:dyDescent="0.25">
      <c r="A148" s="2">
        <v>2</v>
      </c>
      <c r="B148" s="2" t="s">
        <v>85</v>
      </c>
      <c r="C148" s="15">
        <v>51</v>
      </c>
      <c r="D148" s="4">
        <v>17000</v>
      </c>
      <c r="E148" s="4">
        <f t="shared" si="3"/>
        <v>867000</v>
      </c>
      <c r="F148" s="2">
        <v>22</v>
      </c>
    </row>
    <row r="149" spans="1:6" ht="15.75" x14ac:dyDescent="0.25">
      <c r="A149" s="2">
        <v>3</v>
      </c>
      <c r="B149" s="2" t="s">
        <v>103</v>
      </c>
      <c r="C149" s="15">
        <v>0</v>
      </c>
      <c r="D149" s="4">
        <v>17000</v>
      </c>
      <c r="E149" s="4">
        <f t="shared" si="3"/>
        <v>0</v>
      </c>
      <c r="F149" s="2">
        <f>36+147</f>
        <v>183</v>
      </c>
    </row>
    <row r="150" spans="1:6" ht="15.75" x14ac:dyDescent="0.25">
      <c r="A150" s="2">
        <v>4</v>
      </c>
      <c r="B150" s="2" t="s">
        <v>11</v>
      </c>
      <c r="C150" s="15">
        <v>14</v>
      </c>
      <c r="D150" s="4">
        <v>17000</v>
      </c>
      <c r="E150" s="4">
        <f t="shared" si="3"/>
        <v>238000</v>
      </c>
      <c r="F150" s="2">
        <f>55+35</f>
        <v>90</v>
      </c>
    </row>
    <row r="151" spans="1:6" ht="15.75" x14ac:dyDescent="0.25">
      <c r="A151" s="2">
        <v>5</v>
      </c>
      <c r="B151" s="2" t="s">
        <v>7</v>
      </c>
      <c r="C151" s="15">
        <v>36</v>
      </c>
      <c r="D151" s="4">
        <v>17000</v>
      </c>
      <c r="E151" s="4">
        <f t="shared" si="3"/>
        <v>612000</v>
      </c>
      <c r="F151" s="2"/>
    </row>
    <row r="152" spans="1:6" ht="15.75" x14ac:dyDescent="0.25">
      <c r="A152" s="2">
        <v>6</v>
      </c>
      <c r="B152" s="2" t="s">
        <v>8</v>
      </c>
      <c r="C152" s="15">
        <v>28</v>
      </c>
      <c r="D152" s="4">
        <v>17000</v>
      </c>
      <c r="E152" s="4">
        <f t="shared" si="3"/>
        <v>476000</v>
      </c>
      <c r="F152" s="2">
        <v>4</v>
      </c>
    </row>
    <row r="153" spans="1:6" ht="15.75" x14ac:dyDescent="0.25">
      <c r="A153" s="2">
        <v>7</v>
      </c>
      <c r="B153" s="2" t="s">
        <v>25</v>
      </c>
      <c r="C153" s="15">
        <v>30</v>
      </c>
      <c r="D153" s="4">
        <v>17000</v>
      </c>
      <c r="E153" s="4">
        <f t="shared" si="3"/>
        <v>510000</v>
      </c>
      <c r="F153" s="2">
        <f>40+72</f>
        <v>112</v>
      </c>
    </row>
    <row r="154" spans="1:6" ht="15.75" x14ac:dyDescent="0.25">
      <c r="A154" s="2">
        <v>8</v>
      </c>
      <c r="B154" s="2" t="s">
        <v>10</v>
      </c>
      <c r="C154" s="15">
        <v>40</v>
      </c>
      <c r="D154" s="4">
        <v>17000</v>
      </c>
      <c r="E154" s="4">
        <f t="shared" si="3"/>
        <v>680000</v>
      </c>
      <c r="F154" s="2">
        <v>22</v>
      </c>
    </row>
    <row r="155" spans="1:6" ht="15.75" x14ac:dyDescent="0.25">
      <c r="A155" s="2"/>
      <c r="B155" s="2"/>
      <c r="C155" s="15">
        <f>SUM(C147:C154)</f>
        <v>236</v>
      </c>
      <c r="D155" s="4"/>
      <c r="E155" s="4">
        <f t="shared" si="3"/>
        <v>0</v>
      </c>
      <c r="F155" s="2"/>
    </row>
    <row r="156" spans="1:6" ht="31.5" x14ac:dyDescent="0.5">
      <c r="A156" s="1"/>
      <c r="B156" s="20" t="s">
        <v>104</v>
      </c>
      <c r="C156" s="5"/>
      <c r="D156" s="19"/>
      <c r="E156" s="19">
        <f t="shared" si="3"/>
        <v>0</v>
      </c>
      <c r="F156" s="1"/>
    </row>
    <row r="157" spans="1:6" ht="15.75" x14ac:dyDescent="0.25">
      <c r="A157" s="2">
        <v>1</v>
      </c>
      <c r="B157" s="2" t="s">
        <v>105</v>
      </c>
      <c r="C157" s="15">
        <v>116</v>
      </c>
      <c r="D157" s="4">
        <v>17000</v>
      </c>
      <c r="E157" s="4">
        <f t="shared" si="3"/>
        <v>1972000</v>
      </c>
      <c r="F157" s="2"/>
    </row>
    <row r="158" spans="1:6" ht="15.75" x14ac:dyDescent="0.25">
      <c r="A158" s="2">
        <v>2</v>
      </c>
      <c r="B158" s="2" t="s">
        <v>106</v>
      </c>
      <c r="C158" s="15">
        <v>143</v>
      </c>
      <c r="D158" s="4">
        <v>17000</v>
      </c>
      <c r="E158" s="4">
        <f t="shared" si="3"/>
        <v>2431000</v>
      </c>
      <c r="F158" s="2"/>
    </row>
    <row r="159" spans="1:6" ht="15.75" x14ac:dyDescent="0.25">
      <c r="A159" s="2">
        <v>3</v>
      </c>
      <c r="B159" s="2" t="s">
        <v>107</v>
      </c>
      <c r="C159" s="15">
        <v>123</v>
      </c>
      <c r="D159" s="4">
        <v>17000</v>
      </c>
      <c r="E159" s="4">
        <f t="shared" si="3"/>
        <v>2091000</v>
      </c>
      <c r="F159" s="2"/>
    </row>
    <row r="160" spans="1:6" ht="15.75" x14ac:dyDescent="0.25">
      <c r="A160" s="2">
        <v>4</v>
      </c>
      <c r="B160" s="2" t="s">
        <v>108</v>
      </c>
      <c r="C160" s="15">
        <v>106</v>
      </c>
      <c r="D160" s="4">
        <v>17000</v>
      </c>
      <c r="E160" s="4">
        <f t="shared" si="3"/>
        <v>1802000</v>
      </c>
      <c r="F160" s="2"/>
    </row>
    <row r="161" spans="1:6" ht="15.75" x14ac:dyDescent="0.25">
      <c r="A161" s="2">
        <v>5</v>
      </c>
      <c r="B161" s="2" t="s">
        <v>109</v>
      </c>
      <c r="C161" s="15">
        <v>6</v>
      </c>
      <c r="D161" s="4">
        <v>17000</v>
      </c>
      <c r="E161" s="4">
        <f t="shared" si="3"/>
        <v>102000</v>
      </c>
      <c r="F161" s="2"/>
    </row>
    <row r="162" spans="1:6" ht="15.75" x14ac:dyDescent="0.25">
      <c r="A162" s="2">
        <v>6</v>
      </c>
      <c r="B162" s="2" t="s">
        <v>11</v>
      </c>
      <c r="C162" s="15">
        <v>108</v>
      </c>
      <c r="D162" s="4">
        <v>17000</v>
      </c>
      <c r="E162" s="4">
        <f t="shared" si="3"/>
        <v>1836000</v>
      </c>
      <c r="F162" s="2"/>
    </row>
    <row r="163" spans="1:6" ht="15.75" x14ac:dyDescent="0.25">
      <c r="A163" s="2"/>
      <c r="B163" s="2"/>
      <c r="C163" s="15">
        <f>SUM(C157:C162)</f>
        <v>602</v>
      </c>
      <c r="D163" s="4"/>
      <c r="E163" s="4"/>
      <c r="F163" s="2"/>
    </row>
    <row r="164" spans="1:6" ht="15.75" x14ac:dyDescent="0.25">
      <c r="A164" s="2">
        <v>7</v>
      </c>
      <c r="B164" s="2" t="s">
        <v>110</v>
      </c>
      <c r="C164" s="15">
        <v>104</v>
      </c>
      <c r="D164" s="4">
        <v>23600</v>
      </c>
      <c r="E164" s="4">
        <f t="shared" si="3"/>
        <v>2454400</v>
      </c>
      <c r="F164" s="2"/>
    </row>
    <row r="165" spans="1:6" ht="15.75" x14ac:dyDescent="0.25">
      <c r="A165" s="2">
        <v>8</v>
      </c>
      <c r="B165" s="2" t="s">
        <v>111</v>
      </c>
      <c r="C165" s="15">
        <v>108</v>
      </c>
      <c r="D165" s="4">
        <v>23600</v>
      </c>
      <c r="E165" s="4">
        <f t="shared" si="3"/>
        <v>2548800</v>
      </c>
      <c r="F165" s="2"/>
    </row>
    <row r="166" spans="1:6" ht="15.75" x14ac:dyDescent="0.25">
      <c r="A166" s="2">
        <v>9</v>
      </c>
      <c r="B166" s="2" t="s">
        <v>112</v>
      </c>
      <c r="C166" s="15">
        <v>86</v>
      </c>
      <c r="D166" s="4">
        <v>23600</v>
      </c>
      <c r="E166" s="4">
        <f t="shared" si="3"/>
        <v>2029600</v>
      </c>
      <c r="F166" s="2"/>
    </row>
    <row r="167" spans="1:6" ht="15.75" x14ac:dyDescent="0.25">
      <c r="A167" s="2"/>
      <c r="B167" s="2" t="s">
        <v>113</v>
      </c>
      <c r="C167" s="15">
        <v>0</v>
      </c>
      <c r="D167" s="4">
        <v>7500</v>
      </c>
      <c r="E167" s="4">
        <f t="shared" si="3"/>
        <v>0</v>
      </c>
      <c r="F167" s="2"/>
    </row>
    <row r="168" spans="1:6" ht="15.75" x14ac:dyDescent="0.25">
      <c r="A168" s="2"/>
      <c r="B168" s="2"/>
      <c r="C168" s="15">
        <f>SUM(C164:C167)</f>
        <v>298</v>
      </c>
      <c r="D168" s="4"/>
      <c r="E168" s="4"/>
      <c r="F168" s="2"/>
    </row>
    <row r="169" spans="1:6" ht="15.75" x14ac:dyDescent="0.25">
      <c r="A169" s="2"/>
      <c r="B169" s="2"/>
      <c r="C169" s="15"/>
      <c r="D169" s="4"/>
      <c r="E169" s="4">
        <f t="shared" si="3"/>
        <v>0</v>
      </c>
      <c r="F169" s="2"/>
    </row>
    <row r="170" spans="1:6" ht="31.5" x14ac:dyDescent="0.5">
      <c r="A170" s="1"/>
      <c r="B170" s="20" t="s">
        <v>114</v>
      </c>
      <c r="C170" s="5"/>
      <c r="D170" s="19"/>
      <c r="E170" s="19">
        <f t="shared" si="3"/>
        <v>0</v>
      </c>
      <c r="F170" s="1"/>
    </row>
    <row r="171" spans="1:6" ht="15.75" x14ac:dyDescent="0.25">
      <c r="A171" s="2">
        <v>1</v>
      </c>
      <c r="B171" s="2" t="s">
        <v>25</v>
      </c>
      <c r="C171" s="15">
        <v>104</v>
      </c>
      <c r="D171" s="4">
        <v>18000</v>
      </c>
      <c r="E171" s="4">
        <f t="shared" si="3"/>
        <v>1872000</v>
      </c>
      <c r="F171" s="2"/>
    </row>
    <row r="172" spans="1:6" ht="15.75" x14ac:dyDescent="0.25">
      <c r="A172" s="2">
        <v>2</v>
      </c>
      <c r="B172" s="2" t="s">
        <v>8</v>
      </c>
      <c r="C172" s="15">
        <v>97</v>
      </c>
      <c r="D172" s="4">
        <v>18000</v>
      </c>
      <c r="E172" s="4">
        <f t="shared" si="3"/>
        <v>1746000</v>
      </c>
      <c r="F172" s="2"/>
    </row>
    <row r="173" spans="1:6" ht="15.75" x14ac:dyDescent="0.25">
      <c r="A173" s="2"/>
      <c r="B173" s="2"/>
      <c r="C173" s="15">
        <f>SUM(C171:C172)</f>
        <v>201</v>
      </c>
      <c r="D173" s="4"/>
      <c r="E173" s="4"/>
      <c r="F173" s="2"/>
    </row>
    <row r="174" spans="1:6" ht="15.75" x14ac:dyDescent="0.25">
      <c r="A174" s="2"/>
      <c r="B174" s="2"/>
      <c r="C174" s="15"/>
      <c r="D174" s="4"/>
      <c r="E174" s="4"/>
      <c r="F174" s="2"/>
    </row>
    <row r="175" spans="1:6" ht="31.5" x14ac:dyDescent="0.5">
      <c r="A175" s="1"/>
      <c r="B175" s="20" t="s">
        <v>115</v>
      </c>
      <c r="C175" s="5"/>
      <c r="D175" s="19"/>
      <c r="E175" s="19">
        <f t="shared" si="3"/>
        <v>0</v>
      </c>
      <c r="F175" s="1"/>
    </row>
    <row r="176" spans="1:6" ht="15.75" x14ac:dyDescent="0.25">
      <c r="A176" s="2">
        <v>1</v>
      </c>
      <c r="B176" s="2" t="s">
        <v>8</v>
      </c>
      <c r="C176" s="15">
        <v>12</v>
      </c>
      <c r="D176" s="4">
        <v>13000</v>
      </c>
      <c r="E176" s="4">
        <f t="shared" si="3"/>
        <v>156000</v>
      </c>
      <c r="F176" s="2"/>
    </row>
    <row r="177" spans="1:6" ht="15.75" x14ac:dyDescent="0.25">
      <c r="A177" s="2">
        <v>2</v>
      </c>
      <c r="B177" s="2" t="s">
        <v>25</v>
      </c>
      <c r="C177" s="15">
        <v>11</v>
      </c>
      <c r="D177" s="4">
        <v>13000</v>
      </c>
      <c r="E177" s="4">
        <f t="shared" si="3"/>
        <v>143000</v>
      </c>
      <c r="F177" s="2"/>
    </row>
    <row r="178" spans="1:6" ht="15.75" x14ac:dyDescent="0.25">
      <c r="A178" s="2">
        <v>3</v>
      </c>
      <c r="B178" s="2" t="s">
        <v>24</v>
      </c>
      <c r="C178" s="15">
        <v>10</v>
      </c>
      <c r="D178" s="4">
        <v>13000</v>
      </c>
      <c r="E178" s="4">
        <f t="shared" ref="E178:E284" si="4">+C178*D178</f>
        <v>130000</v>
      </c>
      <c r="F178" s="2"/>
    </row>
    <row r="179" spans="1:6" ht="15.75" x14ac:dyDescent="0.25">
      <c r="A179" s="2"/>
      <c r="B179" s="2"/>
      <c r="C179" s="15">
        <f>SUM(C176:C178)</f>
        <v>33</v>
      </c>
      <c r="D179" s="4"/>
      <c r="E179" s="4">
        <f t="shared" si="4"/>
        <v>0</v>
      </c>
      <c r="F179" s="2"/>
    </row>
    <row r="180" spans="1:6" ht="15.75" x14ac:dyDescent="0.25">
      <c r="A180" s="2"/>
      <c r="B180" s="2"/>
      <c r="C180" s="15"/>
      <c r="D180" s="4"/>
      <c r="E180" s="4"/>
      <c r="F180" s="2"/>
    </row>
    <row r="181" spans="1:6" ht="31.5" x14ac:dyDescent="0.5">
      <c r="A181" s="1"/>
      <c r="B181" s="20" t="s">
        <v>116</v>
      </c>
      <c r="C181" s="5"/>
      <c r="D181" s="19"/>
      <c r="E181" s="19"/>
      <c r="F181" s="1"/>
    </row>
    <row r="182" spans="1:6" ht="15.75" x14ac:dyDescent="0.25">
      <c r="A182" s="2"/>
      <c r="B182" s="2" t="s">
        <v>8</v>
      </c>
      <c r="C182" s="15">
        <v>11</v>
      </c>
      <c r="D182" s="4"/>
      <c r="E182" s="4"/>
      <c r="F182" s="2"/>
    </row>
    <row r="183" spans="1:6" ht="15.75" x14ac:dyDescent="0.25">
      <c r="A183" s="2"/>
      <c r="B183" s="2" t="s">
        <v>25</v>
      </c>
      <c r="C183" s="15">
        <v>20</v>
      </c>
      <c r="D183" s="4"/>
      <c r="E183" s="4"/>
      <c r="F183" s="2"/>
    </row>
    <row r="184" spans="1:6" ht="15.75" x14ac:dyDescent="0.25">
      <c r="A184" s="2"/>
      <c r="B184" s="2" t="s">
        <v>86</v>
      </c>
      <c r="C184" s="15">
        <v>20</v>
      </c>
      <c r="D184" s="4"/>
      <c r="E184" s="4"/>
      <c r="F184" s="2"/>
    </row>
    <row r="185" spans="1:6" ht="15.75" x14ac:dyDescent="0.25">
      <c r="A185" s="2"/>
      <c r="B185" s="2"/>
      <c r="C185" s="15">
        <f>SUM(C182:C184)</f>
        <v>51</v>
      </c>
      <c r="D185" s="4"/>
      <c r="E185" s="4"/>
      <c r="F185" s="2"/>
    </row>
    <row r="186" spans="1:6" ht="15.75" x14ac:dyDescent="0.25">
      <c r="A186" s="2"/>
      <c r="B186" s="2"/>
      <c r="C186" s="15"/>
      <c r="D186" s="4"/>
      <c r="E186" s="4"/>
      <c r="F186" s="2"/>
    </row>
    <row r="187" spans="1:6" ht="15.75" x14ac:dyDescent="0.25">
      <c r="A187" s="2"/>
      <c r="B187" s="2" t="s">
        <v>117</v>
      </c>
      <c r="C187" s="15">
        <v>0</v>
      </c>
      <c r="D187" s="4">
        <v>162000</v>
      </c>
      <c r="E187" s="4">
        <f t="shared" si="4"/>
        <v>0</v>
      </c>
      <c r="F187" s="2" t="s">
        <v>118</v>
      </c>
    </row>
    <row r="188" spans="1:6" ht="15.75" x14ac:dyDescent="0.25">
      <c r="A188" s="2"/>
      <c r="B188" s="2" t="s">
        <v>119</v>
      </c>
      <c r="C188" s="15">
        <v>7</v>
      </c>
      <c r="D188" s="4">
        <v>49500</v>
      </c>
      <c r="E188" s="4">
        <f t="shared" si="4"/>
        <v>346500</v>
      </c>
      <c r="F188" s="2" t="s">
        <v>120</v>
      </c>
    </row>
    <row r="189" spans="1:6" ht="15.75" x14ac:dyDescent="0.25">
      <c r="A189" s="2"/>
      <c r="B189" s="2"/>
      <c r="C189" s="15"/>
      <c r="D189" s="4"/>
      <c r="E189" s="4"/>
      <c r="F189" s="2"/>
    </row>
    <row r="190" spans="1:6" ht="31.5" x14ac:dyDescent="0.5">
      <c r="A190" s="1"/>
      <c r="B190" s="20" t="s">
        <v>121</v>
      </c>
      <c r="C190" s="5"/>
      <c r="D190" s="19"/>
      <c r="E190" s="19">
        <f t="shared" si="4"/>
        <v>0</v>
      </c>
      <c r="F190" s="1"/>
    </row>
    <row r="191" spans="1:6" ht="15.75" x14ac:dyDescent="0.25">
      <c r="A191" s="2"/>
      <c r="B191" s="2" t="s">
        <v>122</v>
      </c>
      <c r="C191" s="15">
        <v>32</v>
      </c>
      <c r="D191" s="4">
        <v>19000</v>
      </c>
      <c r="E191" s="4">
        <f t="shared" si="4"/>
        <v>608000</v>
      </c>
      <c r="F191" s="2"/>
    </row>
    <row r="192" spans="1:6" ht="15.75" x14ac:dyDescent="0.25">
      <c r="A192" s="2"/>
      <c r="B192" s="2" t="s">
        <v>123</v>
      </c>
      <c r="C192" s="15">
        <v>9</v>
      </c>
      <c r="D192" s="4">
        <v>19000</v>
      </c>
      <c r="E192" s="4">
        <f t="shared" si="4"/>
        <v>171000</v>
      </c>
      <c r="F192" s="2"/>
    </row>
    <row r="193" spans="1:6" ht="15.75" x14ac:dyDescent="0.25">
      <c r="A193" s="2"/>
      <c r="B193" s="2" t="s">
        <v>124</v>
      </c>
      <c r="C193" s="15">
        <v>19</v>
      </c>
      <c r="D193" s="4">
        <v>19000</v>
      </c>
      <c r="E193" s="4">
        <f t="shared" si="4"/>
        <v>361000</v>
      </c>
      <c r="F193" s="2"/>
    </row>
    <row r="194" spans="1:6" ht="15.75" x14ac:dyDescent="0.25">
      <c r="A194" s="2"/>
      <c r="B194" s="2" t="s">
        <v>125</v>
      </c>
      <c r="C194" s="15">
        <v>6</v>
      </c>
      <c r="D194" s="4"/>
      <c r="E194" s="4"/>
      <c r="F194" s="2"/>
    </row>
    <row r="195" spans="1:6" ht="15.75" x14ac:dyDescent="0.25">
      <c r="A195" s="2"/>
      <c r="B195" s="2" t="s">
        <v>24</v>
      </c>
      <c r="C195" s="15">
        <v>4</v>
      </c>
      <c r="D195" s="4"/>
      <c r="E195" s="4"/>
      <c r="F195" s="2"/>
    </row>
    <row r="196" spans="1:6" ht="15.75" x14ac:dyDescent="0.25">
      <c r="A196" s="2"/>
      <c r="B196" s="2"/>
      <c r="C196" s="15">
        <f>SUM(C191:C195)</f>
        <v>70</v>
      </c>
      <c r="D196" s="4"/>
      <c r="E196" s="4"/>
      <c r="F196" s="2"/>
    </row>
    <row r="197" spans="1:6" ht="15.75" x14ac:dyDescent="0.25">
      <c r="A197" s="2"/>
      <c r="B197" s="2"/>
      <c r="C197" s="15"/>
      <c r="D197" s="4"/>
      <c r="E197" s="4"/>
      <c r="F197" s="2"/>
    </row>
    <row r="198" spans="1:6" ht="15.75" x14ac:dyDescent="0.25">
      <c r="A198" s="2"/>
      <c r="B198" s="2" t="s">
        <v>126</v>
      </c>
      <c r="C198" s="15">
        <v>1</v>
      </c>
      <c r="D198" s="4">
        <v>57000</v>
      </c>
      <c r="E198" s="4">
        <f t="shared" si="4"/>
        <v>57000</v>
      </c>
      <c r="F198" s="2" t="s">
        <v>127</v>
      </c>
    </row>
    <row r="199" spans="1:6" ht="15.75" x14ac:dyDescent="0.25">
      <c r="A199" s="2"/>
      <c r="B199" s="2"/>
      <c r="C199" s="15"/>
      <c r="D199" s="4"/>
      <c r="E199" s="4"/>
      <c r="F199" s="2"/>
    </row>
    <row r="200" spans="1:6" ht="31.5" x14ac:dyDescent="0.5">
      <c r="A200" s="1">
        <v>1</v>
      </c>
      <c r="B200" s="20" t="s">
        <v>128</v>
      </c>
      <c r="C200" s="5"/>
      <c r="D200" s="19"/>
      <c r="E200" s="19">
        <f>+C200*D200</f>
        <v>0</v>
      </c>
      <c r="F200" s="1"/>
    </row>
    <row r="201" spans="1:6" ht="15.75" x14ac:dyDescent="0.25">
      <c r="A201" s="2"/>
      <c r="B201" s="2" t="s">
        <v>129</v>
      </c>
      <c r="C201" s="15">
        <v>31</v>
      </c>
      <c r="D201" s="4">
        <v>14600</v>
      </c>
      <c r="E201" s="4">
        <f>+C201*D201</f>
        <v>452600</v>
      </c>
      <c r="F201" s="2"/>
    </row>
    <row r="202" spans="1:6" ht="15.75" x14ac:dyDescent="0.25">
      <c r="A202" s="2"/>
      <c r="B202" s="2" t="s">
        <v>130</v>
      </c>
      <c r="C202" s="15">
        <v>16</v>
      </c>
      <c r="D202" s="4">
        <v>14600</v>
      </c>
      <c r="E202" s="4">
        <f>+C202*D202</f>
        <v>233600</v>
      </c>
      <c r="F202" s="2"/>
    </row>
    <row r="203" spans="1:6" ht="15.75" x14ac:dyDescent="0.25">
      <c r="A203" s="2"/>
      <c r="B203" s="2" t="s">
        <v>131</v>
      </c>
      <c r="C203" s="15">
        <v>14</v>
      </c>
      <c r="D203" s="4">
        <v>14600</v>
      </c>
      <c r="E203" s="4">
        <f>+C203*D203</f>
        <v>204400</v>
      </c>
      <c r="F203" s="2"/>
    </row>
    <row r="204" spans="1:6" ht="15.75" x14ac:dyDescent="0.25">
      <c r="A204" s="2"/>
      <c r="B204" s="2" t="s">
        <v>132</v>
      </c>
      <c r="C204" s="15">
        <v>31</v>
      </c>
      <c r="D204" s="4">
        <v>14600</v>
      </c>
      <c r="E204" s="4">
        <f>+C204*D204</f>
        <v>452600</v>
      </c>
      <c r="F204" s="2"/>
    </row>
    <row r="205" spans="1:6" ht="15.75" x14ac:dyDescent="0.25">
      <c r="A205" s="2"/>
      <c r="B205" s="2"/>
      <c r="C205" s="15">
        <f>SUM(C201:C204)</f>
        <v>92</v>
      </c>
      <c r="D205" s="4"/>
      <c r="E205" s="4">
        <f t="shared" ref="E205:E213" si="5">+C205*D205</f>
        <v>0</v>
      </c>
      <c r="F205" s="2"/>
    </row>
    <row r="206" spans="1:6" ht="15.75" x14ac:dyDescent="0.25">
      <c r="A206" s="2"/>
      <c r="B206" s="2"/>
      <c r="C206" s="15"/>
      <c r="D206" s="4"/>
      <c r="E206" s="4">
        <f t="shared" si="5"/>
        <v>0</v>
      </c>
      <c r="F206" s="2"/>
    </row>
    <row r="207" spans="1:6" ht="31.5" x14ac:dyDescent="0.5">
      <c r="A207" s="1"/>
      <c r="B207" s="20" t="s">
        <v>133</v>
      </c>
      <c r="C207" s="5"/>
      <c r="D207" s="19"/>
      <c r="E207" s="19">
        <f t="shared" si="5"/>
        <v>0</v>
      </c>
      <c r="F207" s="1"/>
    </row>
    <row r="208" spans="1:6" ht="15.75" x14ac:dyDescent="0.25">
      <c r="A208" s="2"/>
      <c r="B208" s="2" t="s">
        <v>19</v>
      </c>
      <c r="C208" s="15">
        <v>2</v>
      </c>
      <c r="D208" s="4">
        <v>14500</v>
      </c>
      <c r="E208" s="4">
        <f t="shared" si="5"/>
        <v>29000</v>
      </c>
      <c r="F208" s="2"/>
    </row>
    <row r="209" spans="1:6" ht="15.75" x14ac:dyDescent="0.25">
      <c r="A209" s="2"/>
      <c r="B209" s="2" t="s">
        <v>129</v>
      </c>
      <c r="C209" s="15">
        <v>24</v>
      </c>
      <c r="D209" s="4">
        <v>14500</v>
      </c>
      <c r="E209" s="4">
        <f t="shared" si="5"/>
        <v>348000</v>
      </c>
      <c r="F209" s="2"/>
    </row>
    <row r="210" spans="1:6" ht="15.75" x14ac:dyDescent="0.25">
      <c r="A210" s="2"/>
      <c r="B210" s="2" t="s">
        <v>93</v>
      </c>
      <c r="C210" s="15">
        <v>14</v>
      </c>
      <c r="D210" s="4">
        <v>14500</v>
      </c>
      <c r="E210" s="4">
        <f t="shared" si="5"/>
        <v>203000</v>
      </c>
      <c r="F210" s="2"/>
    </row>
    <row r="211" spans="1:6" ht="15.75" x14ac:dyDescent="0.25">
      <c r="A211" s="2"/>
      <c r="B211" s="2" t="s">
        <v>134</v>
      </c>
      <c r="C211" s="15"/>
      <c r="D211" s="4"/>
      <c r="E211" s="4">
        <f t="shared" si="5"/>
        <v>0</v>
      </c>
      <c r="F211" s="2"/>
    </row>
    <row r="212" spans="1:6" ht="15.75" x14ac:dyDescent="0.25">
      <c r="A212" s="2"/>
      <c r="B212" s="2" t="s">
        <v>30</v>
      </c>
      <c r="C212" s="15">
        <v>27</v>
      </c>
      <c r="D212" s="4">
        <v>14500</v>
      </c>
      <c r="E212" s="4">
        <f t="shared" si="5"/>
        <v>391500</v>
      </c>
      <c r="F212" s="2"/>
    </row>
    <row r="213" spans="1:6" ht="15.75" x14ac:dyDescent="0.25">
      <c r="A213" s="2"/>
      <c r="B213" s="2" t="s">
        <v>129</v>
      </c>
      <c r="C213" s="15">
        <v>64</v>
      </c>
      <c r="D213" s="4">
        <v>14500</v>
      </c>
      <c r="E213" s="4">
        <f t="shared" si="5"/>
        <v>928000</v>
      </c>
      <c r="F213" s="2"/>
    </row>
    <row r="214" spans="1:6" ht="15.75" x14ac:dyDescent="0.25">
      <c r="A214" s="2"/>
      <c r="B214" s="2"/>
      <c r="C214" s="15"/>
      <c r="D214" s="4"/>
      <c r="E214" s="4"/>
      <c r="F214" s="2"/>
    </row>
    <row r="215" spans="1:6" ht="15.75" x14ac:dyDescent="0.25">
      <c r="A215" s="2"/>
      <c r="B215" s="2"/>
      <c r="C215" s="15"/>
      <c r="D215" s="4"/>
      <c r="E215" s="4"/>
      <c r="F215" s="2"/>
    </row>
    <row r="216" spans="1:6" ht="15.75" x14ac:dyDescent="0.25">
      <c r="A216" s="2"/>
      <c r="B216" s="2"/>
      <c r="C216" s="15"/>
      <c r="D216" s="4"/>
      <c r="E216" s="4">
        <f t="shared" si="4"/>
        <v>0</v>
      </c>
      <c r="F216" s="2"/>
    </row>
    <row r="217" spans="1:6" ht="31.5" x14ac:dyDescent="0.5">
      <c r="A217" s="1"/>
      <c r="B217" s="20" t="s">
        <v>135</v>
      </c>
      <c r="C217" s="5"/>
      <c r="D217" s="19"/>
      <c r="E217" s="19">
        <f t="shared" si="4"/>
        <v>0</v>
      </c>
      <c r="F217" s="1"/>
    </row>
    <row r="218" spans="1:6" ht="15.75" x14ac:dyDescent="0.25">
      <c r="A218" s="2">
        <v>1</v>
      </c>
      <c r="B218" s="2" t="s">
        <v>7</v>
      </c>
      <c r="C218" s="15">
        <v>13</v>
      </c>
      <c r="D218" s="4">
        <v>67000</v>
      </c>
      <c r="E218" s="4">
        <f t="shared" si="4"/>
        <v>871000</v>
      </c>
      <c r="F218" s="2"/>
    </row>
    <row r="219" spans="1:6" ht="15.75" x14ac:dyDescent="0.25">
      <c r="A219" s="2">
        <v>2</v>
      </c>
      <c r="B219" s="2" t="s">
        <v>30</v>
      </c>
      <c r="C219" s="15">
        <v>6</v>
      </c>
      <c r="D219" s="4">
        <v>67000</v>
      </c>
      <c r="E219" s="4">
        <f t="shared" si="4"/>
        <v>402000</v>
      </c>
      <c r="F219" s="2"/>
    </row>
    <row r="220" spans="1:6" ht="15.75" x14ac:dyDescent="0.25">
      <c r="A220" s="2"/>
      <c r="B220" s="2" t="s">
        <v>93</v>
      </c>
      <c r="C220" s="15">
        <v>3</v>
      </c>
      <c r="D220" s="4">
        <v>67000</v>
      </c>
      <c r="E220" s="4">
        <f t="shared" si="4"/>
        <v>201000</v>
      </c>
      <c r="F220" s="2"/>
    </row>
    <row r="221" spans="1:6" ht="15.75" x14ac:dyDescent="0.25">
      <c r="A221" s="2"/>
      <c r="B221" s="2"/>
      <c r="C221" s="15"/>
      <c r="D221" s="4"/>
      <c r="E221" s="4">
        <f t="shared" si="4"/>
        <v>0</v>
      </c>
      <c r="F221" s="2"/>
    </row>
    <row r="222" spans="1:6" ht="15.75" x14ac:dyDescent="0.25">
      <c r="A222" s="2"/>
      <c r="B222" s="2" t="s">
        <v>136</v>
      </c>
      <c r="C222" s="15">
        <v>22</v>
      </c>
      <c r="D222" s="4">
        <v>38000</v>
      </c>
      <c r="E222" s="4">
        <f t="shared" si="4"/>
        <v>836000</v>
      </c>
      <c r="F222" s="2"/>
    </row>
    <row r="223" spans="1:6" ht="15.75" x14ac:dyDescent="0.25">
      <c r="A223" s="2"/>
      <c r="B223" s="2" t="s">
        <v>137</v>
      </c>
      <c r="C223" s="15">
        <v>23</v>
      </c>
      <c r="D223" s="4">
        <v>38000</v>
      </c>
      <c r="E223" s="4">
        <f t="shared" si="4"/>
        <v>874000</v>
      </c>
      <c r="F223" s="2"/>
    </row>
    <row r="224" spans="1:6" ht="15.75" x14ac:dyDescent="0.25">
      <c r="A224" s="2"/>
      <c r="B224" s="2"/>
      <c r="C224" s="15"/>
      <c r="D224" s="4"/>
      <c r="E224" s="4">
        <f t="shared" si="4"/>
        <v>0</v>
      </c>
      <c r="F224" s="2"/>
    </row>
    <row r="225" spans="1:6" ht="15.75" x14ac:dyDescent="0.25">
      <c r="A225" s="2"/>
      <c r="B225" s="2"/>
      <c r="C225" s="15"/>
      <c r="D225" s="4"/>
      <c r="E225" s="4">
        <f t="shared" si="4"/>
        <v>0</v>
      </c>
      <c r="F225" s="2"/>
    </row>
    <row r="226" spans="1:6" ht="31.5" x14ac:dyDescent="0.5">
      <c r="A226" s="1"/>
      <c r="B226" s="20" t="s">
        <v>138</v>
      </c>
      <c r="C226" s="5"/>
      <c r="D226" s="19"/>
      <c r="E226" s="19">
        <f t="shared" si="4"/>
        <v>0</v>
      </c>
      <c r="F226" s="1"/>
    </row>
    <row r="227" spans="1:6" ht="15.75" x14ac:dyDescent="0.25">
      <c r="A227" s="2">
        <v>1</v>
      </c>
      <c r="B227" s="2" t="s">
        <v>139</v>
      </c>
      <c r="C227" s="15">
        <f>23+1</f>
        <v>24</v>
      </c>
      <c r="D227" s="4">
        <v>17500</v>
      </c>
      <c r="E227" s="4">
        <f t="shared" si="4"/>
        <v>420000</v>
      </c>
      <c r="F227" s="2"/>
    </row>
    <row r="228" spans="1:6" ht="15.75" x14ac:dyDescent="0.25">
      <c r="A228" s="2">
        <v>2</v>
      </c>
      <c r="B228" s="2" t="s">
        <v>140</v>
      </c>
      <c r="C228" s="15">
        <f>57+44</f>
        <v>101</v>
      </c>
      <c r="D228" s="4">
        <v>20500</v>
      </c>
      <c r="E228" s="4">
        <f t="shared" si="4"/>
        <v>2070500</v>
      </c>
      <c r="F228" s="2"/>
    </row>
    <row r="229" spans="1:6" ht="15.75" x14ac:dyDescent="0.25">
      <c r="A229" s="2">
        <v>3</v>
      </c>
      <c r="B229" s="2" t="s">
        <v>141</v>
      </c>
      <c r="C229" s="15"/>
      <c r="D229" s="4">
        <v>28400</v>
      </c>
      <c r="E229" s="4">
        <f t="shared" si="4"/>
        <v>0</v>
      </c>
      <c r="F229" s="2"/>
    </row>
    <row r="230" spans="1:6" ht="15.75" x14ac:dyDescent="0.25">
      <c r="A230" s="2">
        <v>4</v>
      </c>
      <c r="B230" s="2" t="s">
        <v>142</v>
      </c>
      <c r="C230" s="15">
        <f>36+16</f>
        <v>52</v>
      </c>
      <c r="D230" s="4">
        <v>36300</v>
      </c>
      <c r="E230" s="4">
        <f t="shared" si="4"/>
        <v>1887600</v>
      </c>
      <c r="F230" s="2"/>
    </row>
    <row r="231" spans="1:6" ht="15.75" x14ac:dyDescent="0.25">
      <c r="A231" s="2">
        <v>5</v>
      </c>
      <c r="B231" s="2" t="s">
        <v>143</v>
      </c>
      <c r="C231" s="15">
        <f>17+36+27+3</f>
        <v>83</v>
      </c>
      <c r="D231" s="4">
        <v>29100</v>
      </c>
      <c r="E231" s="4">
        <f t="shared" si="4"/>
        <v>2415300</v>
      </c>
      <c r="F231" s="2"/>
    </row>
    <row r="232" spans="1:6" ht="15.75" x14ac:dyDescent="0.25">
      <c r="A232" s="2">
        <v>6</v>
      </c>
      <c r="B232" s="2" t="s">
        <v>144</v>
      </c>
      <c r="C232" s="15">
        <v>33</v>
      </c>
      <c r="D232" s="4">
        <v>37000</v>
      </c>
      <c r="E232" s="4">
        <f t="shared" si="4"/>
        <v>1221000</v>
      </c>
      <c r="F232" s="2"/>
    </row>
    <row r="233" spans="1:6" ht="15.75" x14ac:dyDescent="0.25">
      <c r="A233" s="2">
        <v>7</v>
      </c>
      <c r="B233" s="2" t="s">
        <v>145</v>
      </c>
      <c r="C233" s="15">
        <v>12</v>
      </c>
      <c r="D233" s="4">
        <v>47600</v>
      </c>
      <c r="E233" s="4">
        <f t="shared" si="4"/>
        <v>571200</v>
      </c>
      <c r="F233" s="2"/>
    </row>
    <row r="234" spans="1:6" ht="15.75" x14ac:dyDescent="0.25">
      <c r="A234" s="2">
        <v>8</v>
      </c>
      <c r="B234" s="2" t="s">
        <v>146</v>
      </c>
      <c r="C234" s="15">
        <f>12+9</f>
        <v>21</v>
      </c>
      <c r="D234" s="4">
        <v>66000</v>
      </c>
      <c r="E234" s="4">
        <f t="shared" si="4"/>
        <v>1386000</v>
      </c>
      <c r="F234" s="2"/>
    </row>
    <row r="235" spans="1:6" ht="15.75" x14ac:dyDescent="0.25">
      <c r="A235" s="2"/>
      <c r="B235" s="2" t="s">
        <v>147</v>
      </c>
      <c r="C235" s="15">
        <v>34</v>
      </c>
      <c r="D235" s="4"/>
      <c r="E235" s="4"/>
      <c r="F235" s="2"/>
    </row>
    <row r="236" spans="1:6" ht="15.75" x14ac:dyDescent="0.25">
      <c r="A236" s="2"/>
      <c r="B236" s="2" t="s">
        <v>148</v>
      </c>
      <c r="C236" s="15">
        <v>10</v>
      </c>
      <c r="D236" s="4"/>
      <c r="E236" s="4"/>
      <c r="F236" s="2"/>
    </row>
    <row r="237" spans="1:6" ht="15.75" x14ac:dyDescent="0.25">
      <c r="A237" s="2">
        <v>9</v>
      </c>
      <c r="B237" s="2" t="s">
        <v>149</v>
      </c>
      <c r="C237" s="15">
        <v>0</v>
      </c>
      <c r="D237" s="4">
        <v>26400</v>
      </c>
      <c r="E237" s="4">
        <f t="shared" si="4"/>
        <v>0</v>
      </c>
      <c r="F237" s="2"/>
    </row>
    <row r="238" spans="1:6" ht="15.75" x14ac:dyDescent="0.25">
      <c r="A238" s="2"/>
      <c r="B238" s="2" t="s">
        <v>150</v>
      </c>
      <c r="C238" s="15">
        <v>2</v>
      </c>
      <c r="D238" s="4">
        <v>26400</v>
      </c>
      <c r="E238" s="4">
        <f t="shared" si="4"/>
        <v>52800</v>
      </c>
      <c r="F238" s="2"/>
    </row>
    <row r="239" spans="1:6" ht="15.75" x14ac:dyDescent="0.25">
      <c r="A239" s="2"/>
      <c r="B239" s="2" t="s">
        <v>151</v>
      </c>
      <c r="C239" s="15">
        <v>3</v>
      </c>
      <c r="D239" s="4">
        <v>26400</v>
      </c>
      <c r="E239" s="4">
        <f t="shared" si="4"/>
        <v>79200</v>
      </c>
      <c r="F239" s="2"/>
    </row>
    <row r="240" spans="1:6" ht="15.75" x14ac:dyDescent="0.25">
      <c r="A240" s="2"/>
      <c r="B240" s="2" t="s">
        <v>152</v>
      </c>
      <c r="C240" s="15">
        <v>1</v>
      </c>
      <c r="D240" s="4">
        <v>26400</v>
      </c>
      <c r="E240" s="4">
        <f t="shared" si="4"/>
        <v>26400</v>
      </c>
      <c r="F240" s="2"/>
    </row>
    <row r="241" spans="1:6" ht="15.75" x14ac:dyDescent="0.25">
      <c r="A241" s="2"/>
      <c r="B241" s="2" t="s">
        <v>153</v>
      </c>
      <c r="C241" s="15">
        <v>30</v>
      </c>
      <c r="D241" s="4"/>
      <c r="E241" s="4">
        <f t="shared" si="4"/>
        <v>0</v>
      </c>
      <c r="F241" s="2"/>
    </row>
    <row r="242" spans="1:6" ht="15.75" x14ac:dyDescent="0.25">
      <c r="A242" s="2"/>
      <c r="B242" s="2" t="s">
        <v>154</v>
      </c>
      <c r="C242" s="15">
        <f>3+34</f>
        <v>37</v>
      </c>
      <c r="D242" s="4"/>
      <c r="E242" s="4">
        <f t="shared" si="4"/>
        <v>0</v>
      </c>
      <c r="F242" s="2"/>
    </row>
    <row r="243" spans="1:6" ht="15.75" x14ac:dyDescent="0.25">
      <c r="A243" s="2"/>
      <c r="B243" s="2" t="s">
        <v>155</v>
      </c>
      <c r="C243" s="15">
        <v>24</v>
      </c>
      <c r="D243" s="4"/>
      <c r="E243" s="4"/>
      <c r="F243" s="2"/>
    </row>
    <row r="244" spans="1:6" ht="15.75" x14ac:dyDescent="0.25">
      <c r="A244" s="2"/>
      <c r="B244" s="2" t="s">
        <v>156</v>
      </c>
      <c r="C244" s="15">
        <f>23+34+2</f>
        <v>59</v>
      </c>
      <c r="D244" s="4"/>
      <c r="E244" s="4"/>
      <c r="F244" s="2"/>
    </row>
    <row r="245" spans="1:6" ht="15.75" x14ac:dyDescent="0.25">
      <c r="A245" s="2"/>
      <c r="B245" s="2" t="s">
        <v>157</v>
      </c>
      <c r="C245" s="15">
        <f>2+12</f>
        <v>14</v>
      </c>
      <c r="D245" s="4"/>
      <c r="E245" s="4"/>
      <c r="F245" s="2"/>
    </row>
    <row r="246" spans="1:6" ht="15.75" x14ac:dyDescent="0.25">
      <c r="A246" s="2"/>
      <c r="B246" s="2"/>
      <c r="C246" s="15"/>
      <c r="D246" s="4"/>
      <c r="E246" s="4">
        <f t="shared" si="4"/>
        <v>0</v>
      </c>
      <c r="F246" s="2"/>
    </row>
    <row r="247" spans="1:6" ht="31.5" x14ac:dyDescent="0.5">
      <c r="A247" s="1"/>
      <c r="B247" s="20" t="s">
        <v>158</v>
      </c>
      <c r="C247" s="5"/>
      <c r="D247" s="19"/>
      <c r="E247" s="19">
        <f t="shared" si="4"/>
        <v>0</v>
      </c>
      <c r="F247" s="1"/>
    </row>
    <row r="248" spans="1:6" ht="15.75" x14ac:dyDescent="0.25">
      <c r="A248" s="2">
        <v>1</v>
      </c>
      <c r="B248" s="2" t="s">
        <v>159</v>
      </c>
      <c r="C248" s="15">
        <v>42</v>
      </c>
      <c r="D248" s="4">
        <v>6000</v>
      </c>
      <c r="E248" s="4">
        <f t="shared" si="4"/>
        <v>252000</v>
      </c>
      <c r="F248" s="2"/>
    </row>
    <row r="249" spans="1:6" ht="15.75" x14ac:dyDescent="0.25">
      <c r="A249" s="2">
        <v>2</v>
      </c>
      <c r="B249" s="2" t="s">
        <v>160</v>
      </c>
      <c r="C249" s="15">
        <v>22</v>
      </c>
      <c r="D249" s="4">
        <v>6000</v>
      </c>
      <c r="E249" s="4">
        <f t="shared" si="4"/>
        <v>132000</v>
      </c>
      <c r="F249" s="2"/>
    </row>
    <row r="250" spans="1:6" ht="15.75" x14ac:dyDescent="0.25">
      <c r="A250" s="2">
        <v>3</v>
      </c>
      <c r="B250" s="2" t="s">
        <v>161</v>
      </c>
      <c r="C250" s="15">
        <v>54</v>
      </c>
      <c r="D250" s="4">
        <v>6000</v>
      </c>
      <c r="E250" s="4">
        <f t="shared" si="4"/>
        <v>324000</v>
      </c>
      <c r="F250" s="2"/>
    </row>
    <row r="251" spans="1:6" ht="15.75" x14ac:dyDescent="0.25">
      <c r="A251" s="2">
        <v>4</v>
      </c>
      <c r="B251" s="2" t="s">
        <v>162</v>
      </c>
      <c r="C251" s="15">
        <v>60</v>
      </c>
      <c r="D251" s="4">
        <v>6000</v>
      </c>
      <c r="E251" s="4">
        <f t="shared" si="4"/>
        <v>360000</v>
      </c>
      <c r="F251" s="2"/>
    </row>
    <row r="252" spans="1:6" ht="15.75" x14ac:dyDescent="0.25">
      <c r="A252" s="2">
        <v>5</v>
      </c>
      <c r="B252" s="2" t="s">
        <v>163</v>
      </c>
      <c r="C252" s="15">
        <f>30+4</f>
        <v>34</v>
      </c>
      <c r="D252" s="4">
        <v>6000</v>
      </c>
      <c r="E252" s="4">
        <f t="shared" si="4"/>
        <v>204000</v>
      </c>
      <c r="F252" s="2"/>
    </row>
    <row r="253" spans="1:6" ht="15.75" x14ac:dyDescent="0.25">
      <c r="A253" s="2">
        <v>5</v>
      </c>
      <c r="B253" s="2" t="s">
        <v>164</v>
      </c>
      <c r="C253" s="15">
        <v>10</v>
      </c>
      <c r="D253" s="4">
        <v>6000</v>
      </c>
      <c r="E253" s="4">
        <f>+C253*D253</f>
        <v>60000</v>
      </c>
      <c r="F253" s="2"/>
    </row>
    <row r="254" spans="1:6" ht="15.75" x14ac:dyDescent="0.25">
      <c r="A254" s="2">
        <v>6</v>
      </c>
      <c r="B254" s="2" t="s">
        <v>165</v>
      </c>
      <c r="C254" s="15">
        <v>102</v>
      </c>
      <c r="D254" s="4">
        <v>6000</v>
      </c>
      <c r="E254" s="4">
        <f>+C254*D254</f>
        <v>612000</v>
      </c>
      <c r="F254" s="2"/>
    </row>
    <row r="255" spans="1:6" ht="15.75" x14ac:dyDescent="0.25">
      <c r="A255" s="2">
        <v>8</v>
      </c>
      <c r="B255" s="2" t="s">
        <v>166</v>
      </c>
      <c r="C255" s="15">
        <v>18</v>
      </c>
      <c r="D255" s="4">
        <v>6000</v>
      </c>
      <c r="E255" s="4">
        <f>+C255*D255</f>
        <v>108000</v>
      </c>
      <c r="F255" s="2"/>
    </row>
    <row r="256" spans="1:6" ht="15.75" x14ac:dyDescent="0.25">
      <c r="A256" s="2"/>
      <c r="B256" s="2"/>
      <c r="C256" s="15">
        <f>SUM(C248:C255)</f>
        <v>342</v>
      </c>
      <c r="D256" s="4"/>
      <c r="E256" s="4"/>
      <c r="F256" s="2"/>
    </row>
    <row r="257" spans="1:6" ht="15.75" x14ac:dyDescent="0.25">
      <c r="A257" s="2"/>
      <c r="B257" s="2"/>
      <c r="C257" s="15"/>
      <c r="D257" s="4"/>
      <c r="E257" s="4"/>
      <c r="F257" s="2"/>
    </row>
    <row r="258" spans="1:6" ht="15.75" x14ac:dyDescent="0.25">
      <c r="A258" s="2"/>
      <c r="B258" s="2"/>
      <c r="C258" s="15"/>
      <c r="D258" s="4"/>
      <c r="E258" s="4">
        <f t="shared" si="4"/>
        <v>0</v>
      </c>
      <c r="F258" s="2"/>
    </row>
    <row r="259" spans="1:6" ht="31.5" x14ac:dyDescent="0.5">
      <c r="A259" s="1"/>
      <c r="B259" s="20" t="s">
        <v>167</v>
      </c>
      <c r="C259" s="5"/>
      <c r="D259" s="19"/>
      <c r="E259" s="19">
        <f t="shared" si="4"/>
        <v>0</v>
      </c>
      <c r="F259" s="1"/>
    </row>
    <row r="260" spans="1:6" ht="15.75" x14ac:dyDescent="0.25">
      <c r="A260" s="2">
        <v>1</v>
      </c>
      <c r="B260" s="2" t="s">
        <v>159</v>
      </c>
      <c r="C260" s="15">
        <v>12</v>
      </c>
      <c r="D260" s="4">
        <v>8300</v>
      </c>
      <c r="E260" s="4">
        <f t="shared" si="4"/>
        <v>99600</v>
      </c>
      <c r="F260" s="2"/>
    </row>
    <row r="261" spans="1:6" ht="15.75" x14ac:dyDescent="0.25">
      <c r="A261" s="2">
        <v>2</v>
      </c>
      <c r="B261" s="2" t="s">
        <v>160</v>
      </c>
      <c r="C261" s="15">
        <v>12</v>
      </c>
      <c r="D261" s="4">
        <v>8300</v>
      </c>
      <c r="E261" s="4">
        <f t="shared" si="4"/>
        <v>99600</v>
      </c>
      <c r="F261" s="2"/>
    </row>
    <row r="262" spans="1:6" ht="15.75" x14ac:dyDescent="0.25">
      <c r="A262" s="2">
        <v>3</v>
      </c>
      <c r="B262" s="2" t="s">
        <v>161</v>
      </c>
      <c r="C262" s="15">
        <v>12</v>
      </c>
      <c r="D262" s="4">
        <v>8300</v>
      </c>
      <c r="E262" s="4">
        <f t="shared" si="4"/>
        <v>99600</v>
      </c>
      <c r="F262" s="2"/>
    </row>
    <row r="263" spans="1:6" ht="15.75" x14ac:dyDescent="0.25">
      <c r="A263" s="2">
        <v>4</v>
      </c>
      <c r="B263" s="2" t="s">
        <v>162</v>
      </c>
      <c r="C263" s="15">
        <v>12</v>
      </c>
      <c r="D263" s="4">
        <v>8300</v>
      </c>
      <c r="E263" s="4">
        <f t="shared" si="4"/>
        <v>99600</v>
      </c>
      <c r="F263" s="2"/>
    </row>
    <row r="264" spans="1:6" ht="15.75" x14ac:dyDescent="0.25">
      <c r="A264" s="2">
        <v>5</v>
      </c>
      <c r="B264" s="2" t="s">
        <v>164</v>
      </c>
      <c r="C264" s="15">
        <v>21</v>
      </c>
      <c r="D264" s="4">
        <v>8300</v>
      </c>
      <c r="E264" s="4">
        <f t="shared" si="4"/>
        <v>174300</v>
      </c>
      <c r="F264" s="2"/>
    </row>
    <row r="265" spans="1:6" ht="15.75" x14ac:dyDescent="0.25">
      <c r="A265" s="2">
        <v>6</v>
      </c>
      <c r="B265" s="2" t="s">
        <v>165</v>
      </c>
      <c r="C265" s="15">
        <f>3+36</f>
        <v>39</v>
      </c>
      <c r="D265" s="4">
        <v>8300</v>
      </c>
      <c r="E265" s="4">
        <f t="shared" si="4"/>
        <v>323700</v>
      </c>
      <c r="F265" s="2"/>
    </row>
    <row r="266" spans="1:6" ht="15.75" x14ac:dyDescent="0.25">
      <c r="A266" s="2">
        <v>7</v>
      </c>
      <c r="B266" s="2" t="s">
        <v>163</v>
      </c>
      <c r="C266" s="15">
        <v>45</v>
      </c>
      <c r="D266" s="4">
        <v>8300</v>
      </c>
      <c r="E266" s="4">
        <f t="shared" si="4"/>
        <v>373500</v>
      </c>
      <c r="F266" s="2"/>
    </row>
    <row r="267" spans="1:6" ht="15.75" x14ac:dyDescent="0.25">
      <c r="A267" s="2">
        <v>8</v>
      </c>
      <c r="B267" s="2" t="s">
        <v>166</v>
      </c>
      <c r="C267" s="15">
        <v>32</v>
      </c>
      <c r="D267" s="4">
        <v>8300</v>
      </c>
      <c r="E267" s="4">
        <f t="shared" si="4"/>
        <v>265600</v>
      </c>
      <c r="F267" s="2"/>
    </row>
    <row r="268" spans="1:6" ht="15.75" x14ac:dyDescent="0.25">
      <c r="A268" s="2"/>
      <c r="B268" s="2"/>
      <c r="C268" s="15">
        <f>SUM(C260:C267)</f>
        <v>185</v>
      </c>
      <c r="D268" s="4"/>
      <c r="E268" s="4"/>
      <c r="F268" s="2"/>
    </row>
    <row r="269" spans="1:6" ht="15.75" x14ac:dyDescent="0.25">
      <c r="A269" s="2"/>
      <c r="B269" s="2"/>
      <c r="C269" s="15"/>
      <c r="D269" s="4"/>
      <c r="E269" s="4">
        <f t="shared" si="4"/>
        <v>0</v>
      </c>
      <c r="F269" s="2"/>
    </row>
    <row r="270" spans="1:6" ht="15.75" x14ac:dyDescent="0.25">
      <c r="A270" s="1"/>
      <c r="B270" s="1" t="s">
        <v>168</v>
      </c>
      <c r="C270" s="5"/>
      <c r="D270" s="19"/>
      <c r="E270" s="19">
        <f t="shared" si="4"/>
        <v>0</v>
      </c>
      <c r="F270" s="1"/>
    </row>
    <row r="271" spans="1:6" ht="15.75" x14ac:dyDescent="0.25">
      <c r="A271" s="2">
        <v>1</v>
      </c>
      <c r="B271" s="2" t="s">
        <v>169</v>
      </c>
      <c r="C271" s="15">
        <v>0</v>
      </c>
      <c r="D271" s="4">
        <v>88000</v>
      </c>
      <c r="E271" s="4">
        <f t="shared" si="4"/>
        <v>0</v>
      </c>
      <c r="F271" s="2"/>
    </row>
    <row r="272" spans="1:6" ht="15.75" x14ac:dyDescent="0.25">
      <c r="A272" s="2">
        <v>2</v>
      </c>
      <c r="B272" s="2" t="s">
        <v>170</v>
      </c>
      <c r="C272" s="15">
        <v>4</v>
      </c>
      <c r="D272" s="4">
        <v>148000</v>
      </c>
      <c r="E272" s="4">
        <f t="shared" si="4"/>
        <v>592000</v>
      </c>
      <c r="F272" s="2"/>
    </row>
    <row r="273" spans="1:6" ht="15.75" x14ac:dyDescent="0.25">
      <c r="A273" s="2"/>
      <c r="B273" s="2"/>
      <c r="C273" s="15"/>
      <c r="D273" s="4"/>
      <c r="E273" s="4">
        <f t="shared" si="4"/>
        <v>0</v>
      </c>
      <c r="F273" s="2"/>
    </row>
    <row r="274" spans="1:6" ht="31.5" x14ac:dyDescent="0.5">
      <c r="A274" s="1"/>
      <c r="B274" s="20" t="s">
        <v>171</v>
      </c>
      <c r="C274" s="5"/>
      <c r="D274" s="19"/>
      <c r="E274" s="19">
        <f t="shared" si="4"/>
        <v>0</v>
      </c>
      <c r="F274" s="1"/>
    </row>
    <row r="275" spans="1:6" ht="15.75" x14ac:dyDescent="0.25">
      <c r="A275" s="2">
        <v>1</v>
      </c>
      <c r="B275" s="2" t="s">
        <v>172</v>
      </c>
      <c r="C275" s="15">
        <v>3</v>
      </c>
      <c r="D275" s="4">
        <v>52000</v>
      </c>
      <c r="E275" s="4">
        <f t="shared" si="4"/>
        <v>156000</v>
      </c>
      <c r="F275" s="2"/>
    </row>
    <row r="276" spans="1:6" ht="15.75" x14ac:dyDescent="0.25">
      <c r="A276" s="2">
        <v>2</v>
      </c>
      <c r="B276" s="2" t="s">
        <v>173</v>
      </c>
      <c r="C276" s="15">
        <v>3</v>
      </c>
      <c r="D276" s="4">
        <v>59000</v>
      </c>
      <c r="E276" s="4">
        <f t="shared" si="4"/>
        <v>177000</v>
      </c>
      <c r="F276" s="2"/>
    </row>
    <row r="277" spans="1:6" ht="15.75" x14ac:dyDescent="0.25">
      <c r="A277" s="2">
        <v>3</v>
      </c>
      <c r="B277" s="2" t="s">
        <v>174</v>
      </c>
      <c r="C277" s="15">
        <v>21</v>
      </c>
      <c r="D277" s="4">
        <v>67000</v>
      </c>
      <c r="E277" s="4">
        <f t="shared" si="4"/>
        <v>1407000</v>
      </c>
      <c r="F277" s="2"/>
    </row>
    <row r="278" spans="1:6" ht="15.75" x14ac:dyDescent="0.25">
      <c r="A278" s="2">
        <v>4</v>
      </c>
      <c r="B278" s="2" t="s">
        <v>175</v>
      </c>
      <c r="C278" s="15">
        <v>16</v>
      </c>
      <c r="D278" s="4">
        <v>75000</v>
      </c>
      <c r="E278" s="4">
        <f t="shared" si="4"/>
        <v>1200000</v>
      </c>
      <c r="F278" s="2"/>
    </row>
    <row r="279" spans="1:6" ht="15.75" x14ac:dyDescent="0.25">
      <c r="A279" s="2">
        <v>5</v>
      </c>
      <c r="B279" s="2" t="s">
        <v>176</v>
      </c>
      <c r="C279" s="15">
        <v>17</v>
      </c>
      <c r="D279" s="4">
        <v>84000</v>
      </c>
      <c r="E279" s="4">
        <f t="shared" si="4"/>
        <v>1428000</v>
      </c>
      <c r="F279" s="2"/>
    </row>
    <row r="280" spans="1:6" ht="15.75" x14ac:dyDescent="0.25">
      <c r="A280" s="2"/>
      <c r="B280" s="2" t="s">
        <v>177</v>
      </c>
      <c r="C280" s="15">
        <v>2</v>
      </c>
      <c r="D280" s="4">
        <v>25500</v>
      </c>
      <c r="E280" s="4">
        <f t="shared" si="4"/>
        <v>51000</v>
      </c>
      <c r="F280" s="2"/>
    </row>
    <row r="281" spans="1:6" ht="15.75" x14ac:dyDescent="0.25">
      <c r="A281" s="2">
        <v>6</v>
      </c>
      <c r="B281" s="2" t="s">
        <v>178</v>
      </c>
      <c r="C281" s="15">
        <v>0</v>
      </c>
      <c r="D281" s="4">
        <v>40000</v>
      </c>
      <c r="E281" s="4">
        <f t="shared" si="4"/>
        <v>0</v>
      </c>
      <c r="F281" s="2"/>
    </row>
    <row r="282" spans="1:6" ht="15.75" x14ac:dyDescent="0.25">
      <c r="A282" s="2">
        <v>7</v>
      </c>
      <c r="B282" s="2" t="s">
        <v>179</v>
      </c>
      <c r="C282" s="15">
        <v>5</v>
      </c>
      <c r="D282" s="4">
        <v>53000</v>
      </c>
      <c r="E282" s="4">
        <f t="shared" si="4"/>
        <v>265000</v>
      </c>
      <c r="F282" s="2"/>
    </row>
    <row r="283" spans="1:6" ht="15.75" x14ac:dyDescent="0.25">
      <c r="A283" s="2">
        <v>8</v>
      </c>
      <c r="B283" s="2" t="s">
        <v>180</v>
      </c>
      <c r="C283" s="15">
        <v>0</v>
      </c>
      <c r="D283" s="4">
        <v>57000</v>
      </c>
      <c r="E283" s="4">
        <f t="shared" si="4"/>
        <v>0</v>
      </c>
      <c r="F283" s="2"/>
    </row>
    <row r="284" spans="1:6" ht="15.75" x14ac:dyDescent="0.25">
      <c r="A284" s="2">
        <v>9</v>
      </c>
      <c r="B284" s="2" t="s">
        <v>181</v>
      </c>
      <c r="C284" s="15">
        <v>0</v>
      </c>
      <c r="D284" s="4">
        <v>85000</v>
      </c>
      <c r="E284" s="4">
        <f t="shared" si="4"/>
        <v>0</v>
      </c>
      <c r="F284" s="2"/>
    </row>
    <row r="285" spans="1:6" ht="15.75" x14ac:dyDescent="0.25">
      <c r="A285" s="2">
        <v>10</v>
      </c>
      <c r="B285" s="2" t="s">
        <v>182</v>
      </c>
      <c r="C285" s="15">
        <v>0</v>
      </c>
      <c r="D285" s="4">
        <v>49500</v>
      </c>
      <c r="E285" s="4">
        <f t="shared" ref="E285:E379" si="6">+C285*D285</f>
        <v>0</v>
      </c>
      <c r="F285" s="2"/>
    </row>
    <row r="286" spans="1:6" ht="15.75" x14ac:dyDescent="0.25">
      <c r="A286" s="2">
        <v>10</v>
      </c>
      <c r="B286" s="2" t="s">
        <v>183</v>
      </c>
      <c r="C286" s="15">
        <v>0</v>
      </c>
      <c r="D286" s="4">
        <v>64000</v>
      </c>
      <c r="E286" s="4">
        <f t="shared" si="6"/>
        <v>0</v>
      </c>
      <c r="F286" s="2"/>
    </row>
    <row r="287" spans="1:6" ht="15.75" x14ac:dyDescent="0.25">
      <c r="A287" s="2"/>
      <c r="B287" s="2" t="s">
        <v>184</v>
      </c>
      <c r="C287" s="15">
        <v>0</v>
      </c>
      <c r="D287" s="4"/>
      <c r="E287" s="4">
        <f t="shared" si="6"/>
        <v>0</v>
      </c>
      <c r="F287" s="2"/>
    </row>
    <row r="288" spans="1:6" ht="15.75" x14ac:dyDescent="0.25">
      <c r="A288" s="2"/>
      <c r="B288" s="2" t="s">
        <v>185</v>
      </c>
      <c r="C288" s="15">
        <v>12</v>
      </c>
      <c r="D288" s="4">
        <v>105000</v>
      </c>
      <c r="E288" s="4">
        <f t="shared" si="6"/>
        <v>1260000</v>
      </c>
      <c r="F288" s="2"/>
    </row>
    <row r="289" spans="1:6" ht="15.75" x14ac:dyDescent="0.25">
      <c r="A289" s="2">
        <v>11</v>
      </c>
      <c r="B289" s="2" t="s">
        <v>186</v>
      </c>
      <c r="C289" s="15">
        <v>11</v>
      </c>
      <c r="D289" s="4">
        <v>79000</v>
      </c>
      <c r="E289" s="4">
        <f t="shared" si="6"/>
        <v>869000</v>
      </c>
      <c r="F289" s="2" t="s">
        <v>187</v>
      </c>
    </row>
    <row r="290" spans="1:6" ht="15.75" x14ac:dyDescent="0.25">
      <c r="A290" s="2">
        <v>12</v>
      </c>
      <c r="B290" s="2" t="s">
        <v>188</v>
      </c>
      <c r="C290" s="15">
        <v>0</v>
      </c>
      <c r="D290" s="4">
        <v>162000</v>
      </c>
      <c r="E290" s="4">
        <f t="shared" si="6"/>
        <v>0</v>
      </c>
      <c r="F290" s="2"/>
    </row>
    <row r="291" spans="1:6" ht="15.75" x14ac:dyDescent="0.25">
      <c r="A291" s="2">
        <v>13</v>
      </c>
      <c r="B291" s="2" t="s">
        <v>189</v>
      </c>
      <c r="C291" s="15">
        <v>0</v>
      </c>
      <c r="D291" s="4">
        <v>152000</v>
      </c>
      <c r="E291" s="4">
        <f t="shared" si="6"/>
        <v>0</v>
      </c>
      <c r="F291" s="2"/>
    </row>
    <row r="292" spans="1:6" ht="15.75" x14ac:dyDescent="0.25">
      <c r="A292" s="2">
        <v>14</v>
      </c>
      <c r="B292" s="2" t="s">
        <v>190</v>
      </c>
      <c r="C292" s="15">
        <v>108</v>
      </c>
      <c r="D292" s="4">
        <v>33000</v>
      </c>
      <c r="E292" s="4">
        <f t="shared" si="6"/>
        <v>3564000</v>
      </c>
      <c r="F292" s="2" t="s">
        <v>191</v>
      </c>
    </row>
    <row r="293" spans="1:6" ht="15.75" x14ac:dyDescent="0.25">
      <c r="A293" s="2">
        <v>15</v>
      </c>
      <c r="B293" s="2" t="s">
        <v>192</v>
      </c>
      <c r="C293" s="15">
        <v>12</v>
      </c>
      <c r="D293" s="4">
        <v>62000</v>
      </c>
      <c r="E293" s="4">
        <f t="shared" si="6"/>
        <v>744000</v>
      </c>
      <c r="F293" s="2" t="s">
        <v>193</v>
      </c>
    </row>
    <row r="294" spans="1:6" ht="15.75" x14ac:dyDescent="0.25">
      <c r="A294" s="2">
        <v>16</v>
      </c>
      <c r="B294" s="2" t="s">
        <v>194</v>
      </c>
      <c r="C294" s="15">
        <v>7</v>
      </c>
      <c r="D294" s="4">
        <v>86000</v>
      </c>
      <c r="E294" s="4">
        <f t="shared" si="6"/>
        <v>602000</v>
      </c>
      <c r="F294" s="2" t="s">
        <v>195</v>
      </c>
    </row>
    <row r="295" spans="1:6" ht="15.75" x14ac:dyDescent="0.25">
      <c r="A295" s="2"/>
      <c r="B295" s="2" t="s">
        <v>196</v>
      </c>
      <c r="C295" s="15">
        <v>10</v>
      </c>
      <c r="D295" s="4">
        <v>33000</v>
      </c>
      <c r="E295" s="4">
        <f t="shared" si="6"/>
        <v>330000</v>
      </c>
      <c r="F295" s="2"/>
    </row>
    <row r="296" spans="1:6" ht="15.75" x14ac:dyDescent="0.25">
      <c r="A296" s="2">
        <v>17</v>
      </c>
      <c r="B296" s="2" t="s">
        <v>197</v>
      </c>
      <c r="C296" s="15">
        <v>10</v>
      </c>
      <c r="D296" s="4">
        <v>79000</v>
      </c>
      <c r="E296" s="4">
        <f t="shared" si="6"/>
        <v>790000</v>
      </c>
      <c r="F296" s="2" t="s">
        <v>198</v>
      </c>
    </row>
    <row r="297" spans="1:6" ht="15.75" x14ac:dyDescent="0.25">
      <c r="A297" s="2">
        <v>18</v>
      </c>
      <c r="B297" s="2" t="s">
        <v>199</v>
      </c>
      <c r="C297" s="15">
        <v>5</v>
      </c>
      <c r="D297" s="4">
        <v>64000</v>
      </c>
      <c r="E297" s="4">
        <f t="shared" si="6"/>
        <v>320000</v>
      </c>
      <c r="F297" s="2" t="s">
        <v>200</v>
      </c>
    </row>
    <row r="298" spans="1:6" ht="15.75" x14ac:dyDescent="0.25">
      <c r="A298" s="2">
        <v>19</v>
      </c>
      <c r="B298" s="2" t="s">
        <v>201</v>
      </c>
      <c r="C298" s="15">
        <v>44</v>
      </c>
      <c r="D298" s="4">
        <v>45000</v>
      </c>
      <c r="E298" s="4">
        <f t="shared" si="6"/>
        <v>1980000</v>
      </c>
      <c r="F298" s="2" t="s">
        <v>202</v>
      </c>
    </row>
    <row r="299" spans="1:6" ht="15.75" x14ac:dyDescent="0.25">
      <c r="A299" s="2">
        <v>20</v>
      </c>
      <c r="B299" s="2" t="s">
        <v>203</v>
      </c>
      <c r="C299" s="15">
        <v>30</v>
      </c>
      <c r="D299" s="4">
        <v>25000</v>
      </c>
      <c r="E299" s="4">
        <f t="shared" si="6"/>
        <v>750000</v>
      </c>
      <c r="F299" s="2" t="s">
        <v>204</v>
      </c>
    </row>
    <row r="300" spans="1:6" ht="15.75" x14ac:dyDescent="0.25">
      <c r="A300" s="2">
        <v>21</v>
      </c>
      <c r="B300" s="2" t="s">
        <v>205</v>
      </c>
      <c r="C300" s="15">
        <v>31</v>
      </c>
      <c r="D300" s="4">
        <v>33000</v>
      </c>
      <c r="E300" s="4">
        <f t="shared" si="6"/>
        <v>1023000</v>
      </c>
      <c r="F300" s="2" t="s">
        <v>206</v>
      </c>
    </row>
    <row r="301" spans="1:6" ht="15.75" x14ac:dyDescent="0.25">
      <c r="A301" s="2">
        <v>22</v>
      </c>
      <c r="B301" s="2" t="s">
        <v>207</v>
      </c>
      <c r="C301" s="15">
        <v>0</v>
      </c>
      <c r="D301" s="4">
        <v>72000</v>
      </c>
      <c r="E301" s="4">
        <f t="shared" si="6"/>
        <v>0</v>
      </c>
      <c r="F301" s="2"/>
    </row>
    <row r="302" spans="1:6" ht="15.75" x14ac:dyDescent="0.25">
      <c r="A302" s="2">
        <v>23</v>
      </c>
      <c r="B302" s="2" t="s">
        <v>208</v>
      </c>
      <c r="C302" s="15">
        <v>0</v>
      </c>
      <c r="D302" s="4">
        <v>156000</v>
      </c>
      <c r="E302" s="4">
        <f t="shared" si="6"/>
        <v>0</v>
      </c>
      <c r="F302" s="2"/>
    </row>
    <row r="303" spans="1:6" ht="15.75" x14ac:dyDescent="0.25">
      <c r="A303" s="2">
        <v>24</v>
      </c>
      <c r="B303" s="2" t="s">
        <v>209</v>
      </c>
      <c r="C303" s="15">
        <v>15</v>
      </c>
      <c r="D303" s="4">
        <v>24000</v>
      </c>
      <c r="E303" s="4">
        <f t="shared" si="6"/>
        <v>360000</v>
      </c>
      <c r="F303" s="2"/>
    </row>
    <row r="304" spans="1:6" ht="15.75" x14ac:dyDescent="0.25">
      <c r="A304" s="2">
        <v>25</v>
      </c>
      <c r="B304" s="2" t="s">
        <v>210</v>
      </c>
      <c r="C304" s="15">
        <v>45</v>
      </c>
      <c r="D304" s="4">
        <v>34000</v>
      </c>
      <c r="E304" s="4">
        <f t="shared" si="6"/>
        <v>1530000</v>
      </c>
      <c r="F304" s="2"/>
    </row>
    <row r="305" spans="1:6" ht="15.75" x14ac:dyDescent="0.25">
      <c r="A305" s="2">
        <v>26</v>
      </c>
      <c r="B305" s="2" t="s">
        <v>211</v>
      </c>
      <c r="C305" s="15">
        <v>18</v>
      </c>
      <c r="D305" s="4">
        <v>53000</v>
      </c>
      <c r="E305" s="4">
        <f t="shared" si="6"/>
        <v>954000</v>
      </c>
      <c r="F305" s="2" t="s">
        <v>212</v>
      </c>
    </row>
    <row r="306" spans="1:6" ht="15.75" x14ac:dyDescent="0.25">
      <c r="A306" s="2">
        <v>27</v>
      </c>
      <c r="B306" s="2" t="s">
        <v>213</v>
      </c>
      <c r="C306" s="15">
        <v>17</v>
      </c>
      <c r="D306" s="4">
        <v>75000</v>
      </c>
      <c r="E306" s="4">
        <f t="shared" si="6"/>
        <v>1275000</v>
      </c>
      <c r="F306" s="2" t="s">
        <v>214</v>
      </c>
    </row>
    <row r="307" spans="1:6" ht="15.75" x14ac:dyDescent="0.25">
      <c r="A307" s="2">
        <v>28</v>
      </c>
      <c r="B307" s="2" t="s">
        <v>215</v>
      </c>
      <c r="C307" s="15">
        <v>6</v>
      </c>
      <c r="D307" s="4">
        <v>86000</v>
      </c>
      <c r="E307" s="4">
        <f t="shared" si="6"/>
        <v>516000</v>
      </c>
      <c r="F307" s="2" t="s">
        <v>216</v>
      </c>
    </row>
    <row r="308" spans="1:6" ht="15.75" x14ac:dyDescent="0.25">
      <c r="A308" s="2">
        <v>29</v>
      </c>
      <c r="B308" s="2" t="s">
        <v>217</v>
      </c>
      <c r="C308" s="15">
        <v>1</v>
      </c>
      <c r="D308" s="4">
        <v>14000</v>
      </c>
      <c r="E308" s="4">
        <f t="shared" si="6"/>
        <v>14000</v>
      </c>
      <c r="F308" s="2" t="s">
        <v>86</v>
      </c>
    </row>
    <row r="309" spans="1:6" ht="15.75" x14ac:dyDescent="0.25">
      <c r="A309" s="2">
        <v>30</v>
      </c>
      <c r="B309" s="2" t="s">
        <v>218</v>
      </c>
      <c r="C309" s="15">
        <v>218</v>
      </c>
      <c r="D309" s="4">
        <v>13000</v>
      </c>
      <c r="E309" s="4">
        <f t="shared" si="6"/>
        <v>2834000</v>
      </c>
      <c r="F309" s="2" t="s">
        <v>219</v>
      </c>
    </row>
    <row r="310" spans="1:6" ht="15.75" x14ac:dyDescent="0.25">
      <c r="A310" s="2">
        <v>31</v>
      </c>
      <c r="B310" s="2" t="s">
        <v>220</v>
      </c>
      <c r="C310" s="15">
        <v>17</v>
      </c>
      <c r="D310" s="4">
        <v>38000</v>
      </c>
      <c r="E310" s="4">
        <f t="shared" si="6"/>
        <v>646000</v>
      </c>
      <c r="F310" s="2"/>
    </row>
    <row r="311" spans="1:6" ht="15.75" x14ac:dyDescent="0.25">
      <c r="A311" s="2">
        <v>32</v>
      </c>
      <c r="B311" s="2" t="s">
        <v>221</v>
      </c>
      <c r="C311" s="15">
        <v>21</v>
      </c>
      <c r="D311" s="4">
        <v>38000</v>
      </c>
      <c r="E311" s="4">
        <f t="shared" si="6"/>
        <v>798000</v>
      </c>
      <c r="F311" s="2"/>
    </row>
    <row r="312" spans="1:6" ht="15.75" x14ac:dyDescent="0.25">
      <c r="A312" s="2">
        <v>33</v>
      </c>
      <c r="B312" s="2" t="s">
        <v>222</v>
      </c>
      <c r="C312" s="15">
        <v>1</v>
      </c>
      <c r="D312" s="4">
        <v>233000</v>
      </c>
      <c r="E312" s="4">
        <f t="shared" si="6"/>
        <v>233000</v>
      </c>
      <c r="F312" s="2"/>
    </row>
    <row r="313" spans="1:6" ht="15.75" x14ac:dyDescent="0.25">
      <c r="A313" s="2">
        <v>34</v>
      </c>
      <c r="B313" s="2" t="s">
        <v>223</v>
      </c>
      <c r="C313" s="15">
        <v>197</v>
      </c>
      <c r="D313" s="4">
        <v>13000</v>
      </c>
      <c r="E313" s="4">
        <f>+C313*D313</f>
        <v>2561000</v>
      </c>
      <c r="F313" s="2" t="s">
        <v>224</v>
      </c>
    </row>
    <row r="314" spans="1:6" ht="15.75" x14ac:dyDescent="0.25">
      <c r="A314" s="2"/>
      <c r="B314" s="2" t="s">
        <v>225</v>
      </c>
      <c r="C314" s="15">
        <v>71</v>
      </c>
      <c r="D314" s="4">
        <v>23000</v>
      </c>
      <c r="E314" s="4">
        <f>+C314*D314</f>
        <v>1633000</v>
      </c>
      <c r="F314" s="2" t="s">
        <v>226</v>
      </c>
    </row>
    <row r="315" spans="1:6" ht="15.75" x14ac:dyDescent="0.25">
      <c r="A315" s="2">
        <v>34</v>
      </c>
      <c r="B315" s="2" t="s">
        <v>227</v>
      </c>
      <c r="C315" s="15">
        <v>15</v>
      </c>
      <c r="D315" s="4">
        <v>38000</v>
      </c>
      <c r="E315" s="4">
        <f t="shared" si="6"/>
        <v>570000</v>
      </c>
      <c r="F315" s="2" t="s">
        <v>228</v>
      </c>
    </row>
    <row r="316" spans="1:6" ht="15.75" x14ac:dyDescent="0.25">
      <c r="A316" s="2"/>
      <c r="B316" s="2" t="s">
        <v>229</v>
      </c>
      <c r="C316" s="15">
        <v>15</v>
      </c>
      <c r="D316" s="4">
        <v>53000</v>
      </c>
      <c r="E316" s="4">
        <f t="shared" si="6"/>
        <v>795000</v>
      </c>
      <c r="F316" s="2" t="s">
        <v>230</v>
      </c>
    </row>
    <row r="317" spans="1:6" ht="15.75" x14ac:dyDescent="0.25">
      <c r="A317" s="2"/>
      <c r="B317" s="2" t="s">
        <v>231</v>
      </c>
      <c r="C317" s="15">
        <v>1</v>
      </c>
      <c r="D317" s="4">
        <v>88000</v>
      </c>
      <c r="E317" s="4">
        <f t="shared" si="6"/>
        <v>88000</v>
      </c>
      <c r="F317" s="2" t="s">
        <v>200</v>
      </c>
    </row>
    <row r="318" spans="1:6" ht="15.75" x14ac:dyDescent="0.25">
      <c r="A318" s="2"/>
      <c r="B318" s="2" t="s">
        <v>232</v>
      </c>
      <c r="C318" s="15">
        <v>54</v>
      </c>
      <c r="D318" s="4">
        <v>169000</v>
      </c>
      <c r="E318" s="4">
        <f t="shared" si="6"/>
        <v>9126000</v>
      </c>
      <c r="F318" s="2"/>
    </row>
    <row r="319" spans="1:6" ht="15.75" x14ac:dyDescent="0.25">
      <c r="A319" s="2"/>
      <c r="B319" s="2" t="s">
        <v>233</v>
      </c>
      <c r="C319" s="15">
        <v>9</v>
      </c>
      <c r="D319" s="4">
        <v>57500</v>
      </c>
      <c r="E319" s="4">
        <f t="shared" si="6"/>
        <v>517500</v>
      </c>
      <c r="F319" s="2"/>
    </row>
    <row r="320" spans="1:6" ht="15.75" x14ac:dyDescent="0.25">
      <c r="A320" s="2"/>
      <c r="B320" s="2" t="s">
        <v>234</v>
      </c>
      <c r="C320" s="15">
        <v>4</v>
      </c>
      <c r="D320" s="4">
        <v>48000</v>
      </c>
      <c r="E320" s="4">
        <f t="shared" si="6"/>
        <v>192000</v>
      </c>
      <c r="F320" s="2"/>
    </row>
    <row r="321" spans="1:6" ht="15.75" x14ac:dyDescent="0.25">
      <c r="A321" s="2"/>
      <c r="B321" s="2" t="s">
        <v>235</v>
      </c>
      <c r="C321" s="15">
        <v>8</v>
      </c>
      <c r="D321" s="4">
        <v>48000</v>
      </c>
      <c r="E321" s="4">
        <f t="shared" si="6"/>
        <v>384000</v>
      </c>
      <c r="F321" s="2"/>
    </row>
    <row r="322" spans="1:6" ht="15.75" x14ac:dyDescent="0.25">
      <c r="A322" s="2"/>
      <c r="B322" s="2" t="s">
        <v>236</v>
      </c>
      <c r="C322" s="15">
        <v>3</v>
      </c>
      <c r="D322" s="4">
        <v>48000</v>
      </c>
      <c r="E322" s="4">
        <f t="shared" si="6"/>
        <v>144000</v>
      </c>
      <c r="F322" s="2"/>
    </row>
    <row r="323" spans="1:6" ht="15.75" x14ac:dyDescent="0.25">
      <c r="A323" s="2"/>
      <c r="B323" s="2" t="s">
        <v>237</v>
      </c>
      <c r="C323" s="15">
        <v>1</v>
      </c>
      <c r="D323" s="4">
        <v>62000</v>
      </c>
      <c r="E323" s="4">
        <f t="shared" si="6"/>
        <v>62000</v>
      </c>
      <c r="F323" s="2"/>
    </row>
    <row r="324" spans="1:6" ht="15.75" x14ac:dyDescent="0.25">
      <c r="A324" s="2"/>
      <c r="B324" s="2" t="s">
        <v>238</v>
      </c>
      <c r="C324" s="15">
        <v>7</v>
      </c>
      <c r="D324" s="4">
        <v>62000</v>
      </c>
      <c r="E324" s="4">
        <f t="shared" si="6"/>
        <v>434000</v>
      </c>
      <c r="F324" s="2"/>
    </row>
    <row r="325" spans="1:6" ht="15.75" x14ac:dyDescent="0.25">
      <c r="A325" s="2"/>
      <c r="B325" s="2" t="s">
        <v>239</v>
      </c>
      <c r="C325" s="15">
        <v>3</v>
      </c>
      <c r="D325" s="4">
        <v>62000</v>
      </c>
      <c r="E325" s="4">
        <f t="shared" si="6"/>
        <v>186000</v>
      </c>
      <c r="F325" s="2"/>
    </row>
    <row r="326" spans="1:6" ht="15.75" x14ac:dyDescent="0.25">
      <c r="A326" s="2"/>
      <c r="B326" s="2" t="s">
        <v>240</v>
      </c>
      <c r="C326" s="15">
        <v>5</v>
      </c>
      <c r="D326" s="4">
        <v>148000</v>
      </c>
      <c r="E326" s="4">
        <f t="shared" si="6"/>
        <v>740000</v>
      </c>
      <c r="F326" s="2" t="s">
        <v>241</v>
      </c>
    </row>
    <row r="327" spans="1:6" ht="15.75" x14ac:dyDescent="0.25">
      <c r="A327" s="2"/>
      <c r="B327" s="2" t="s">
        <v>242</v>
      </c>
      <c r="C327" s="15">
        <v>11</v>
      </c>
      <c r="D327" s="4">
        <v>70000</v>
      </c>
      <c r="E327" s="4">
        <f t="shared" si="6"/>
        <v>770000</v>
      </c>
      <c r="F327" s="2"/>
    </row>
    <row r="328" spans="1:6" ht="15.75" x14ac:dyDescent="0.25">
      <c r="A328" s="2"/>
      <c r="B328" s="2" t="s">
        <v>243</v>
      </c>
      <c r="C328" s="15">
        <v>11</v>
      </c>
      <c r="D328" s="4">
        <v>85000</v>
      </c>
      <c r="E328" s="4">
        <f t="shared" si="6"/>
        <v>935000</v>
      </c>
      <c r="F328" s="2"/>
    </row>
    <row r="329" spans="1:6" ht="15.75" x14ac:dyDescent="0.25">
      <c r="A329" s="2"/>
      <c r="B329" s="2" t="s">
        <v>244</v>
      </c>
      <c r="C329" s="15">
        <v>9</v>
      </c>
      <c r="D329" s="4">
        <v>95000</v>
      </c>
      <c r="E329" s="4">
        <f t="shared" si="6"/>
        <v>855000</v>
      </c>
      <c r="F329" s="2"/>
    </row>
    <row r="330" spans="1:6" ht="15.75" x14ac:dyDescent="0.25">
      <c r="A330" s="2"/>
      <c r="B330" s="2" t="s">
        <v>245</v>
      </c>
      <c r="C330" s="15">
        <v>0</v>
      </c>
      <c r="D330" s="4">
        <v>35950</v>
      </c>
      <c r="E330" s="4">
        <f t="shared" si="6"/>
        <v>0</v>
      </c>
      <c r="F330" s="2"/>
    </row>
    <row r="331" spans="1:6" ht="15.75" x14ac:dyDescent="0.25">
      <c r="A331" s="2"/>
      <c r="B331" s="2" t="s">
        <v>246</v>
      </c>
      <c r="C331" s="15">
        <v>0</v>
      </c>
      <c r="D331" s="4">
        <v>42500</v>
      </c>
      <c r="E331" s="4">
        <f t="shared" si="6"/>
        <v>0</v>
      </c>
      <c r="F331" s="2"/>
    </row>
    <row r="332" spans="1:6" ht="15.75" x14ac:dyDescent="0.25">
      <c r="A332" s="2"/>
      <c r="B332" s="2" t="s">
        <v>247</v>
      </c>
      <c r="C332" s="15">
        <v>3</v>
      </c>
      <c r="D332" s="4">
        <v>49500</v>
      </c>
      <c r="E332" s="4">
        <f t="shared" si="6"/>
        <v>148500</v>
      </c>
      <c r="F332" s="2"/>
    </row>
    <row r="333" spans="1:6" ht="15.75" x14ac:dyDescent="0.25">
      <c r="A333" s="2"/>
      <c r="B333" s="2" t="s">
        <v>248</v>
      </c>
      <c r="C333" s="15">
        <v>0</v>
      </c>
      <c r="D333" s="4">
        <v>58000</v>
      </c>
      <c r="E333" s="4">
        <f t="shared" si="6"/>
        <v>0</v>
      </c>
      <c r="F333" s="2"/>
    </row>
    <row r="334" spans="1:6" ht="15.75" x14ac:dyDescent="0.25">
      <c r="A334" s="2"/>
      <c r="B334" s="2" t="s">
        <v>249</v>
      </c>
      <c r="C334" s="15">
        <v>0</v>
      </c>
      <c r="D334" s="4">
        <v>68500</v>
      </c>
      <c r="E334" s="4">
        <f t="shared" si="6"/>
        <v>0</v>
      </c>
      <c r="F334" s="2"/>
    </row>
    <row r="335" spans="1:6" ht="15.75" x14ac:dyDescent="0.25">
      <c r="A335" s="2"/>
      <c r="B335" s="2" t="s">
        <v>250</v>
      </c>
      <c r="C335" s="15">
        <v>38</v>
      </c>
      <c r="D335" s="4">
        <v>49000</v>
      </c>
      <c r="E335" s="4">
        <f t="shared" si="6"/>
        <v>1862000</v>
      </c>
      <c r="F335" s="2" t="s">
        <v>251</v>
      </c>
    </row>
    <row r="336" spans="1:6" ht="15.75" x14ac:dyDescent="0.25">
      <c r="A336" s="2"/>
      <c r="B336" s="2" t="s">
        <v>252</v>
      </c>
      <c r="C336" s="15">
        <v>17</v>
      </c>
      <c r="D336" s="4"/>
      <c r="E336" s="4"/>
      <c r="F336" s="2"/>
    </row>
    <row r="337" spans="1:6" ht="15.75" x14ac:dyDescent="0.25">
      <c r="A337" s="2"/>
      <c r="B337" s="2" t="s">
        <v>253</v>
      </c>
      <c r="C337" s="15">
        <v>15</v>
      </c>
      <c r="D337" s="4"/>
      <c r="E337" s="4"/>
      <c r="F337" s="2"/>
    </row>
    <row r="338" spans="1:6" ht="15.75" x14ac:dyDescent="0.25">
      <c r="A338" s="2"/>
      <c r="B338" s="2" t="s">
        <v>254</v>
      </c>
      <c r="C338" s="15">
        <v>62</v>
      </c>
      <c r="D338" s="4"/>
      <c r="E338" s="4">
        <f t="shared" si="6"/>
        <v>0</v>
      </c>
      <c r="F338" s="2"/>
    </row>
    <row r="339" spans="1:6" ht="15.75" x14ac:dyDescent="0.25">
      <c r="A339" s="2"/>
      <c r="B339" s="2" t="s">
        <v>255</v>
      </c>
      <c r="C339" s="15">
        <v>650</v>
      </c>
      <c r="D339" s="4"/>
      <c r="E339" s="4"/>
      <c r="F339" s="2"/>
    </row>
    <row r="340" spans="1:6" ht="15.75" x14ac:dyDescent="0.25">
      <c r="A340" s="2"/>
      <c r="B340" s="2" t="s">
        <v>256</v>
      </c>
      <c r="C340" s="15">
        <v>68</v>
      </c>
      <c r="D340" s="4"/>
      <c r="E340" s="4"/>
      <c r="F340" s="2"/>
    </row>
    <row r="341" spans="1:6" ht="15.75" x14ac:dyDescent="0.25">
      <c r="A341" s="2"/>
      <c r="B341" s="2" t="s">
        <v>257</v>
      </c>
      <c r="C341" s="15">
        <v>100</v>
      </c>
      <c r="D341" s="4"/>
      <c r="E341" s="4"/>
      <c r="F341" s="2"/>
    </row>
    <row r="342" spans="1:6" ht="15.75" x14ac:dyDescent="0.25">
      <c r="A342" s="2"/>
      <c r="B342" s="2" t="s">
        <v>258</v>
      </c>
      <c r="C342" s="15">
        <v>114</v>
      </c>
      <c r="D342" s="4"/>
      <c r="E342" s="4"/>
      <c r="F342" s="2"/>
    </row>
    <row r="343" spans="1:6" ht="15.75" x14ac:dyDescent="0.25">
      <c r="A343" s="2"/>
      <c r="B343" s="2" t="s">
        <v>259</v>
      </c>
      <c r="C343" s="15">
        <v>175</v>
      </c>
      <c r="D343" s="4"/>
      <c r="E343" s="4"/>
      <c r="F343" s="2"/>
    </row>
    <row r="344" spans="1:6" ht="15.75" x14ac:dyDescent="0.25">
      <c r="A344" s="2"/>
      <c r="B344" s="2" t="s">
        <v>260</v>
      </c>
      <c r="C344" s="15">
        <v>16</v>
      </c>
      <c r="D344" s="4"/>
      <c r="E344" s="4"/>
      <c r="F344" s="2"/>
    </row>
    <row r="345" spans="1:6" ht="15.75" x14ac:dyDescent="0.25">
      <c r="A345" s="2"/>
      <c r="B345" s="2" t="s">
        <v>261</v>
      </c>
      <c r="C345" s="15">
        <v>18</v>
      </c>
      <c r="D345" s="4"/>
      <c r="E345" s="4"/>
      <c r="F345" s="2"/>
    </row>
    <row r="346" spans="1:6" ht="15.75" x14ac:dyDescent="0.25">
      <c r="A346" s="2"/>
      <c r="B346" s="2"/>
      <c r="C346" s="15"/>
      <c r="D346" s="4"/>
      <c r="E346" s="4"/>
      <c r="F346" s="2"/>
    </row>
    <row r="347" spans="1:6" ht="31.5" x14ac:dyDescent="0.5">
      <c r="A347" s="1"/>
      <c r="B347" s="20" t="s">
        <v>262</v>
      </c>
      <c r="C347" s="5"/>
      <c r="D347" s="19"/>
      <c r="E347" s="19">
        <f t="shared" si="6"/>
        <v>0</v>
      </c>
      <c r="F347" s="1"/>
    </row>
    <row r="348" spans="1:6" ht="15.75" x14ac:dyDescent="0.25">
      <c r="A348" s="2">
        <v>1</v>
      </c>
      <c r="B348" s="2" t="s">
        <v>263</v>
      </c>
      <c r="C348" s="15">
        <v>10</v>
      </c>
      <c r="D348" s="4">
        <v>66000</v>
      </c>
      <c r="E348" s="4">
        <f t="shared" si="6"/>
        <v>660000</v>
      </c>
      <c r="F348" s="2" t="s">
        <v>264</v>
      </c>
    </row>
    <row r="349" spans="1:6" ht="15.75" x14ac:dyDescent="0.25">
      <c r="A349" s="2">
        <v>2</v>
      </c>
      <c r="B349" s="2" t="s">
        <v>265</v>
      </c>
      <c r="C349" s="15">
        <v>9</v>
      </c>
      <c r="D349" s="4">
        <v>107000</v>
      </c>
      <c r="E349" s="4">
        <f t="shared" si="6"/>
        <v>963000</v>
      </c>
      <c r="F349" s="2" t="s">
        <v>266</v>
      </c>
    </row>
    <row r="350" spans="1:6" ht="15.75" x14ac:dyDescent="0.25">
      <c r="A350" s="2">
        <v>3</v>
      </c>
      <c r="B350" s="2" t="s">
        <v>267</v>
      </c>
      <c r="C350" s="15">
        <v>85</v>
      </c>
      <c r="D350" s="4">
        <v>15000</v>
      </c>
      <c r="E350" s="4">
        <f t="shared" si="6"/>
        <v>1275000</v>
      </c>
      <c r="F350" s="2" t="s">
        <v>268</v>
      </c>
    </row>
    <row r="351" spans="1:6" ht="15.75" x14ac:dyDescent="0.25">
      <c r="A351" s="2">
        <v>4</v>
      </c>
      <c r="B351" s="2" t="s">
        <v>269</v>
      </c>
      <c r="C351" s="15">
        <v>21</v>
      </c>
      <c r="D351" s="4">
        <v>88000</v>
      </c>
      <c r="E351" s="4">
        <f t="shared" si="6"/>
        <v>1848000</v>
      </c>
      <c r="F351" s="2" t="s">
        <v>270</v>
      </c>
    </row>
    <row r="352" spans="1:6" ht="15.75" x14ac:dyDescent="0.25">
      <c r="A352" s="2">
        <v>5</v>
      </c>
      <c r="B352" s="2" t="s">
        <v>271</v>
      </c>
      <c r="C352" s="15">
        <v>25</v>
      </c>
      <c r="D352" s="4">
        <v>60000</v>
      </c>
      <c r="E352" s="4">
        <f t="shared" si="6"/>
        <v>1500000</v>
      </c>
      <c r="F352" s="2" t="s">
        <v>272</v>
      </c>
    </row>
    <row r="353" spans="1:6" ht="15.75" x14ac:dyDescent="0.25">
      <c r="A353" s="2">
        <v>6</v>
      </c>
      <c r="B353" s="2" t="s">
        <v>273</v>
      </c>
      <c r="C353" s="15">
        <v>18</v>
      </c>
      <c r="D353" s="4">
        <v>49000</v>
      </c>
      <c r="E353" s="4">
        <f t="shared" si="6"/>
        <v>882000</v>
      </c>
      <c r="F353" s="2" t="s">
        <v>274</v>
      </c>
    </row>
    <row r="354" spans="1:6" ht="15.75" x14ac:dyDescent="0.25">
      <c r="A354" s="2"/>
      <c r="B354" s="2" t="s">
        <v>275</v>
      </c>
      <c r="C354" s="15">
        <v>13</v>
      </c>
      <c r="D354" s="4"/>
      <c r="E354" s="4"/>
      <c r="F354" s="2"/>
    </row>
    <row r="355" spans="1:6" ht="15.75" x14ac:dyDescent="0.25">
      <c r="A355" s="2">
        <v>40</v>
      </c>
      <c r="B355" s="2" t="s">
        <v>276</v>
      </c>
      <c r="C355" s="15">
        <v>9</v>
      </c>
      <c r="D355" s="4">
        <v>71000</v>
      </c>
      <c r="E355" s="4">
        <f>+C355*D355</f>
        <v>639000</v>
      </c>
      <c r="F355" s="2" t="s">
        <v>277</v>
      </c>
    </row>
    <row r="356" spans="1:6" ht="15.75" x14ac:dyDescent="0.25">
      <c r="A356" s="2">
        <v>7</v>
      </c>
      <c r="B356" s="2" t="s">
        <v>278</v>
      </c>
      <c r="C356" s="15">
        <v>13</v>
      </c>
      <c r="D356" s="4">
        <v>32000</v>
      </c>
      <c r="E356" s="4">
        <f t="shared" si="6"/>
        <v>416000</v>
      </c>
      <c r="F356" s="2"/>
    </row>
    <row r="357" spans="1:6" ht="15.75" x14ac:dyDescent="0.25">
      <c r="A357" s="2">
        <v>8</v>
      </c>
      <c r="B357" s="2" t="s">
        <v>279</v>
      </c>
      <c r="C357" s="15">
        <v>10</v>
      </c>
      <c r="D357" s="4">
        <v>211000</v>
      </c>
      <c r="E357" s="4">
        <f t="shared" si="6"/>
        <v>2110000</v>
      </c>
      <c r="F357" s="2" t="s">
        <v>280</v>
      </c>
    </row>
    <row r="358" spans="1:6" ht="15.75" x14ac:dyDescent="0.25">
      <c r="A358" s="2">
        <v>9</v>
      </c>
      <c r="B358" s="2" t="s">
        <v>281</v>
      </c>
      <c r="C358" s="15">
        <v>3</v>
      </c>
      <c r="D358" s="4">
        <v>115000</v>
      </c>
      <c r="E358" s="4">
        <f t="shared" si="6"/>
        <v>345000</v>
      </c>
      <c r="F358" s="2" t="s">
        <v>129</v>
      </c>
    </row>
    <row r="359" spans="1:6" ht="15.75" x14ac:dyDescent="0.25">
      <c r="A359" s="2">
        <v>10</v>
      </c>
      <c r="B359" s="2" t="s">
        <v>282</v>
      </c>
      <c r="C359" s="15">
        <v>2</v>
      </c>
      <c r="D359" s="4">
        <v>133000</v>
      </c>
      <c r="E359" s="4">
        <f t="shared" si="6"/>
        <v>266000</v>
      </c>
      <c r="F359" s="2"/>
    </row>
    <row r="360" spans="1:6" ht="15.75" x14ac:dyDescent="0.25">
      <c r="A360" s="2">
        <v>11</v>
      </c>
      <c r="B360" s="2" t="s">
        <v>283</v>
      </c>
      <c r="C360" s="15">
        <v>8</v>
      </c>
      <c r="D360" s="4">
        <v>81000</v>
      </c>
      <c r="E360" s="4">
        <f t="shared" si="6"/>
        <v>648000</v>
      </c>
      <c r="F360" s="2" t="s">
        <v>284</v>
      </c>
    </row>
    <row r="361" spans="1:6" ht="15.75" x14ac:dyDescent="0.25">
      <c r="A361" s="2"/>
      <c r="B361" s="2" t="s">
        <v>285</v>
      </c>
      <c r="C361" s="15">
        <v>3</v>
      </c>
      <c r="D361" s="4">
        <v>211000</v>
      </c>
      <c r="E361" s="4">
        <f t="shared" si="6"/>
        <v>633000</v>
      </c>
      <c r="F361" s="2" t="s">
        <v>86</v>
      </c>
    </row>
    <row r="362" spans="1:6" ht="15.75" x14ac:dyDescent="0.25">
      <c r="A362" s="2"/>
      <c r="B362" s="2" t="s">
        <v>286</v>
      </c>
      <c r="C362" s="15">
        <v>3</v>
      </c>
      <c r="D362" s="4">
        <v>236000</v>
      </c>
      <c r="E362" s="4">
        <f t="shared" si="6"/>
        <v>708000</v>
      </c>
      <c r="F362" s="2"/>
    </row>
    <row r="363" spans="1:6" ht="15.75" x14ac:dyDescent="0.25">
      <c r="A363" s="2">
        <v>12</v>
      </c>
      <c r="B363" s="2" t="s">
        <v>287</v>
      </c>
      <c r="C363" s="15">
        <v>1</v>
      </c>
      <c r="D363" s="4">
        <v>170000</v>
      </c>
      <c r="E363" s="4">
        <f t="shared" si="6"/>
        <v>170000</v>
      </c>
      <c r="F363" s="2"/>
    </row>
    <row r="364" spans="1:6" ht="15.75" x14ac:dyDescent="0.25">
      <c r="A364" s="2">
        <v>13</v>
      </c>
      <c r="B364" s="2" t="s">
        <v>288</v>
      </c>
      <c r="C364" s="15">
        <v>17</v>
      </c>
      <c r="D364" s="4">
        <v>73000</v>
      </c>
      <c r="E364" s="4">
        <f t="shared" si="6"/>
        <v>1241000</v>
      </c>
      <c r="F364" s="2" t="s">
        <v>289</v>
      </c>
    </row>
    <row r="365" spans="1:6" ht="15.75" x14ac:dyDescent="0.25">
      <c r="A365" s="2">
        <v>14</v>
      </c>
      <c r="B365" s="2" t="s">
        <v>290</v>
      </c>
      <c r="C365" s="15">
        <v>33</v>
      </c>
      <c r="D365" s="4">
        <v>94000</v>
      </c>
      <c r="E365" s="4">
        <f t="shared" si="6"/>
        <v>3102000</v>
      </c>
      <c r="F365" s="2" t="s">
        <v>291</v>
      </c>
    </row>
    <row r="366" spans="1:6" ht="15.75" x14ac:dyDescent="0.25">
      <c r="A366" s="2">
        <v>15</v>
      </c>
      <c r="B366" s="2" t="s">
        <v>292</v>
      </c>
      <c r="C366" s="15">
        <v>51</v>
      </c>
      <c r="D366" s="4">
        <v>93000</v>
      </c>
      <c r="E366" s="4">
        <f t="shared" si="6"/>
        <v>4743000</v>
      </c>
      <c r="F366" s="2" t="s">
        <v>293</v>
      </c>
    </row>
    <row r="367" spans="1:6" ht="15.75" x14ac:dyDescent="0.25">
      <c r="A367" s="2">
        <v>16</v>
      </c>
      <c r="B367" s="2" t="s">
        <v>294</v>
      </c>
      <c r="C367" s="15">
        <v>17</v>
      </c>
      <c r="D367" s="4">
        <v>106000</v>
      </c>
      <c r="E367" s="4">
        <f t="shared" si="6"/>
        <v>1802000</v>
      </c>
      <c r="F367" s="2" t="s">
        <v>295</v>
      </c>
    </row>
    <row r="368" spans="1:6" ht="15.75" x14ac:dyDescent="0.25">
      <c r="A368" s="2">
        <v>17</v>
      </c>
      <c r="B368" s="2" t="s">
        <v>296</v>
      </c>
      <c r="C368" s="15">
        <v>12</v>
      </c>
      <c r="D368" s="4">
        <v>112000</v>
      </c>
      <c r="E368" s="4">
        <f t="shared" si="6"/>
        <v>1344000</v>
      </c>
      <c r="F368" s="2" t="s">
        <v>297</v>
      </c>
    </row>
    <row r="369" spans="1:6" ht="15.75" x14ac:dyDescent="0.25">
      <c r="A369" s="2">
        <v>18</v>
      </c>
      <c r="B369" s="2" t="s">
        <v>298</v>
      </c>
      <c r="C369" s="15">
        <v>11</v>
      </c>
      <c r="D369" s="4">
        <v>109000</v>
      </c>
      <c r="E369" s="4">
        <f t="shared" si="6"/>
        <v>1199000</v>
      </c>
      <c r="F369" s="2" t="s">
        <v>299</v>
      </c>
    </row>
    <row r="370" spans="1:6" ht="15.75" x14ac:dyDescent="0.25">
      <c r="A370" s="2">
        <v>19</v>
      </c>
      <c r="B370" s="2" t="s">
        <v>300</v>
      </c>
      <c r="C370" s="15">
        <v>5</v>
      </c>
      <c r="D370" s="4">
        <v>117000</v>
      </c>
      <c r="E370" s="4">
        <f t="shared" si="6"/>
        <v>585000</v>
      </c>
      <c r="F370" s="2" t="s">
        <v>301</v>
      </c>
    </row>
    <row r="371" spans="1:6" ht="15.75" x14ac:dyDescent="0.25">
      <c r="A371" s="2"/>
      <c r="B371" s="2" t="s">
        <v>302</v>
      </c>
      <c r="C371" s="15">
        <v>18</v>
      </c>
      <c r="D371" s="4">
        <v>120000</v>
      </c>
      <c r="E371" s="4">
        <f t="shared" si="6"/>
        <v>2160000</v>
      </c>
      <c r="F371" s="2" t="s">
        <v>303</v>
      </c>
    </row>
    <row r="372" spans="1:6" ht="15.75" x14ac:dyDescent="0.25">
      <c r="A372" s="2">
        <v>20</v>
      </c>
      <c r="B372" s="2" t="s">
        <v>304</v>
      </c>
      <c r="C372" s="15">
        <v>12</v>
      </c>
      <c r="D372" s="4">
        <v>117000</v>
      </c>
      <c r="E372" s="4">
        <f t="shared" si="6"/>
        <v>1404000</v>
      </c>
      <c r="F372" s="2" t="s">
        <v>305</v>
      </c>
    </row>
    <row r="373" spans="1:6" ht="15.75" x14ac:dyDescent="0.25">
      <c r="A373" s="2">
        <v>21</v>
      </c>
      <c r="B373" s="2" t="s">
        <v>306</v>
      </c>
      <c r="C373" s="15">
        <v>18</v>
      </c>
      <c r="D373" s="4">
        <v>123000</v>
      </c>
      <c r="E373" s="4">
        <f t="shared" si="6"/>
        <v>2214000</v>
      </c>
      <c r="F373" s="2" t="s">
        <v>307</v>
      </c>
    </row>
    <row r="374" spans="1:6" ht="15.75" x14ac:dyDescent="0.25">
      <c r="A374" s="2">
        <v>22</v>
      </c>
      <c r="B374" s="2" t="s">
        <v>308</v>
      </c>
      <c r="C374" s="15">
        <v>6</v>
      </c>
      <c r="D374" s="4">
        <v>104000</v>
      </c>
      <c r="E374" s="4">
        <f t="shared" si="6"/>
        <v>624000</v>
      </c>
      <c r="F374" s="2" t="s">
        <v>309</v>
      </c>
    </row>
    <row r="375" spans="1:6" ht="15.75" x14ac:dyDescent="0.25">
      <c r="A375" s="2">
        <v>23</v>
      </c>
      <c r="B375" s="2" t="s">
        <v>310</v>
      </c>
      <c r="C375" s="15">
        <v>3</v>
      </c>
      <c r="D375" s="4">
        <v>159000</v>
      </c>
      <c r="E375" s="4">
        <f t="shared" si="6"/>
        <v>477000</v>
      </c>
      <c r="F375" s="2" t="s">
        <v>200</v>
      </c>
    </row>
    <row r="376" spans="1:6" ht="15.75" x14ac:dyDescent="0.25">
      <c r="A376" s="2">
        <v>24</v>
      </c>
      <c r="B376" s="2" t="s">
        <v>311</v>
      </c>
      <c r="C376" s="15">
        <v>3</v>
      </c>
      <c r="D376" s="4">
        <v>181000</v>
      </c>
      <c r="E376" s="4">
        <f t="shared" si="6"/>
        <v>543000</v>
      </c>
      <c r="F376" s="2" t="s">
        <v>129</v>
      </c>
    </row>
    <row r="377" spans="1:6" ht="15.75" x14ac:dyDescent="0.25">
      <c r="A377" s="2">
        <v>25</v>
      </c>
      <c r="B377" s="2" t="s">
        <v>312</v>
      </c>
      <c r="C377" s="15">
        <v>18</v>
      </c>
      <c r="D377" s="4">
        <v>59000</v>
      </c>
      <c r="E377" s="4">
        <f t="shared" si="6"/>
        <v>1062000</v>
      </c>
      <c r="F377" s="2" t="s">
        <v>93</v>
      </c>
    </row>
    <row r="378" spans="1:6" ht="15.75" x14ac:dyDescent="0.25">
      <c r="A378" s="2">
        <v>26</v>
      </c>
      <c r="B378" s="2" t="s">
        <v>313</v>
      </c>
      <c r="C378" s="15">
        <v>9</v>
      </c>
      <c r="D378" s="4">
        <v>125000</v>
      </c>
      <c r="E378" s="4">
        <f t="shared" si="6"/>
        <v>1125000</v>
      </c>
      <c r="F378" s="2" t="s">
        <v>129</v>
      </c>
    </row>
    <row r="379" spans="1:6" ht="15.75" x14ac:dyDescent="0.25">
      <c r="A379" s="2"/>
      <c r="B379" s="2" t="s">
        <v>314</v>
      </c>
      <c r="C379" s="15">
        <v>0</v>
      </c>
      <c r="D379" s="4">
        <v>145000</v>
      </c>
      <c r="E379" s="4">
        <f t="shared" si="6"/>
        <v>0</v>
      </c>
      <c r="F379" s="2" t="s">
        <v>315</v>
      </c>
    </row>
    <row r="380" spans="1:6" ht="15.75" x14ac:dyDescent="0.25">
      <c r="A380" s="2">
        <v>27</v>
      </c>
      <c r="B380" s="2" t="s">
        <v>316</v>
      </c>
      <c r="C380" s="15">
        <v>16</v>
      </c>
      <c r="D380" s="4">
        <v>122000</v>
      </c>
      <c r="E380" s="4">
        <f t="shared" ref="E380:E459" si="7">+C380*D380</f>
        <v>1952000</v>
      </c>
      <c r="F380" s="2" t="s">
        <v>317</v>
      </c>
    </row>
    <row r="381" spans="1:6" ht="15.75" x14ac:dyDescent="0.25">
      <c r="A381" s="2">
        <v>28</v>
      </c>
      <c r="B381" s="2" t="s">
        <v>318</v>
      </c>
      <c r="C381" s="15">
        <v>5</v>
      </c>
      <c r="D381" s="4">
        <v>62000</v>
      </c>
      <c r="E381" s="4">
        <f t="shared" si="7"/>
        <v>310000</v>
      </c>
      <c r="F381" s="2"/>
    </row>
    <row r="382" spans="1:6" ht="15.75" x14ac:dyDescent="0.25">
      <c r="A382" s="2">
        <v>29</v>
      </c>
      <c r="B382" s="2" t="s">
        <v>319</v>
      </c>
      <c r="C382" s="15">
        <v>16</v>
      </c>
      <c r="D382" s="4">
        <v>129000</v>
      </c>
      <c r="E382" s="4">
        <f t="shared" si="7"/>
        <v>2064000</v>
      </c>
      <c r="F382" s="2" t="s">
        <v>320</v>
      </c>
    </row>
    <row r="383" spans="1:6" ht="15.75" x14ac:dyDescent="0.25">
      <c r="A383" s="2">
        <v>30</v>
      </c>
      <c r="B383" s="2" t="s">
        <v>321</v>
      </c>
      <c r="C383" s="15">
        <v>9</v>
      </c>
      <c r="D383" s="4">
        <v>155000</v>
      </c>
      <c r="E383" s="4">
        <f t="shared" si="7"/>
        <v>1395000</v>
      </c>
      <c r="F383" s="2" t="s">
        <v>322</v>
      </c>
    </row>
    <row r="384" spans="1:6" ht="15.75" x14ac:dyDescent="0.25">
      <c r="A384" s="2"/>
      <c r="B384" s="2" t="s">
        <v>323</v>
      </c>
      <c r="C384" s="15">
        <v>4</v>
      </c>
      <c r="D384" s="4">
        <v>96000</v>
      </c>
      <c r="E384" s="4">
        <f t="shared" si="7"/>
        <v>384000</v>
      </c>
      <c r="F384" s="2" t="s">
        <v>324</v>
      </c>
    </row>
    <row r="385" spans="1:6" ht="15.75" x14ac:dyDescent="0.25">
      <c r="A385" s="2"/>
      <c r="B385" s="2" t="s">
        <v>325</v>
      </c>
      <c r="C385" s="15">
        <v>6</v>
      </c>
      <c r="D385" s="4">
        <v>48000</v>
      </c>
      <c r="E385" s="4">
        <f t="shared" si="7"/>
        <v>288000</v>
      </c>
      <c r="F385" s="2"/>
    </row>
    <row r="386" spans="1:6" ht="15.75" x14ac:dyDescent="0.25">
      <c r="A386" s="2">
        <v>31</v>
      </c>
      <c r="B386" s="2" t="s">
        <v>326</v>
      </c>
      <c r="C386" s="15">
        <v>24</v>
      </c>
      <c r="D386" s="4">
        <v>98000</v>
      </c>
      <c r="E386" s="4">
        <f t="shared" si="7"/>
        <v>2352000</v>
      </c>
      <c r="F386" s="2" t="s">
        <v>327</v>
      </c>
    </row>
    <row r="387" spans="1:6" ht="15.75" x14ac:dyDescent="0.25">
      <c r="A387" s="2">
        <v>32</v>
      </c>
      <c r="B387" s="2" t="s">
        <v>328</v>
      </c>
      <c r="C387" s="15">
        <v>14</v>
      </c>
      <c r="D387" s="4">
        <v>109000</v>
      </c>
      <c r="E387" s="4">
        <f t="shared" si="7"/>
        <v>1526000</v>
      </c>
      <c r="F387" s="2" t="s">
        <v>329</v>
      </c>
    </row>
    <row r="388" spans="1:6" ht="15.75" x14ac:dyDescent="0.25">
      <c r="A388" s="2">
        <v>33</v>
      </c>
      <c r="B388" s="2" t="s">
        <v>330</v>
      </c>
      <c r="C388" s="15">
        <v>9</v>
      </c>
      <c r="D388" s="4">
        <v>57000</v>
      </c>
      <c r="E388" s="4">
        <f t="shared" si="7"/>
        <v>513000</v>
      </c>
      <c r="F388" s="2" t="s">
        <v>331</v>
      </c>
    </row>
    <row r="389" spans="1:6" ht="15.75" x14ac:dyDescent="0.25">
      <c r="A389" s="2">
        <v>34</v>
      </c>
      <c r="B389" s="2" t="s">
        <v>332</v>
      </c>
      <c r="C389" s="15">
        <v>12</v>
      </c>
      <c r="D389" s="4">
        <v>88000</v>
      </c>
      <c r="E389" s="4">
        <f t="shared" si="7"/>
        <v>1056000</v>
      </c>
      <c r="F389" s="2" t="s">
        <v>333</v>
      </c>
    </row>
    <row r="390" spans="1:6" ht="15.75" x14ac:dyDescent="0.25">
      <c r="A390" s="2">
        <v>35</v>
      </c>
      <c r="B390" s="2" t="s">
        <v>334</v>
      </c>
      <c r="C390" s="15">
        <v>3</v>
      </c>
      <c r="D390" s="4">
        <v>62000</v>
      </c>
      <c r="E390" s="4">
        <f t="shared" si="7"/>
        <v>186000</v>
      </c>
      <c r="F390" s="2"/>
    </row>
    <row r="391" spans="1:6" ht="15.75" x14ac:dyDescent="0.25">
      <c r="A391" s="2"/>
      <c r="B391" s="2" t="s">
        <v>335</v>
      </c>
      <c r="C391" s="15">
        <v>9</v>
      </c>
      <c r="D391" s="4">
        <v>116000</v>
      </c>
      <c r="E391" s="4">
        <f t="shared" si="7"/>
        <v>1044000</v>
      </c>
      <c r="F391" s="2" t="s">
        <v>127</v>
      </c>
    </row>
    <row r="392" spans="1:6" ht="15.75" x14ac:dyDescent="0.25">
      <c r="A392" s="2"/>
      <c r="B392" s="2" t="s">
        <v>336</v>
      </c>
      <c r="C392" s="15">
        <v>9</v>
      </c>
      <c r="D392" s="4">
        <v>114000</v>
      </c>
      <c r="E392" s="4">
        <f>+C392*D392</f>
        <v>1026000</v>
      </c>
      <c r="F392" s="2" t="s">
        <v>337</v>
      </c>
    </row>
    <row r="393" spans="1:6" ht="15.75" x14ac:dyDescent="0.25">
      <c r="A393" s="2"/>
      <c r="B393" s="2" t="s">
        <v>338</v>
      </c>
      <c r="C393" s="15">
        <v>7</v>
      </c>
      <c r="D393" s="4">
        <v>128000</v>
      </c>
      <c r="E393" s="4">
        <f t="shared" si="7"/>
        <v>896000</v>
      </c>
      <c r="F393" s="2" t="s">
        <v>339</v>
      </c>
    </row>
    <row r="394" spans="1:6" ht="15.75" x14ac:dyDescent="0.25">
      <c r="A394" s="2">
        <v>36</v>
      </c>
      <c r="B394" s="2" t="s">
        <v>340</v>
      </c>
      <c r="C394" s="15">
        <v>8</v>
      </c>
      <c r="D394" s="4">
        <v>162000</v>
      </c>
      <c r="E394" s="4">
        <f t="shared" si="7"/>
        <v>1296000</v>
      </c>
      <c r="F394" s="2" t="s">
        <v>341</v>
      </c>
    </row>
    <row r="395" spans="1:6" ht="15.75" x14ac:dyDescent="0.25">
      <c r="A395" s="2">
        <v>37</v>
      </c>
      <c r="B395" s="2" t="s">
        <v>342</v>
      </c>
      <c r="C395" s="15">
        <v>3</v>
      </c>
      <c r="D395" s="4">
        <v>156000</v>
      </c>
      <c r="E395" s="4">
        <f t="shared" si="7"/>
        <v>468000</v>
      </c>
      <c r="F395" s="2" t="s">
        <v>86</v>
      </c>
    </row>
    <row r="396" spans="1:6" ht="15.75" x14ac:dyDescent="0.25">
      <c r="A396" s="2">
        <v>38</v>
      </c>
      <c r="B396" s="2" t="s">
        <v>343</v>
      </c>
      <c r="C396" s="15">
        <v>2</v>
      </c>
      <c r="D396" s="4">
        <v>180000</v>
      </c>
      <c r="E396" s="4">
        <f t="shared" si="7"/>
        <v>360000</v>
      </c>
      <c r="F396" s="2" t="s">
        <v>85</v>
      </c>
    </row>
    <row r="397" spans="1:6" ht="15.75" x14ac:dyDescent="0.25">
      <c r="A397" s="2">
        <v>39</v>
      </c>
      <c r="B397" s="2" t="s">
        <v>344</v>
      </c>
      <c r="C397" s="15">
        <v>7</v>
      </c>
      <c r="D397" s="4">
        <v>195000</v>
      </c>
      <c r="E397" s="4">
        <f t="shared" si="7"/>
        <v>1365000</v>
      </c>
      <c r="F397" s="2" t="s">
        <v>345</v>
      </c>
    </row>
    <row r="398" spans="1:6" ht="15.75" x14ac:dyDescent="0.25">
      <c r="A398" s="2">
        <v>41</v>
      </c>
      <c r="B398" s="2" t="s">
        <v>346</v>
      </c>
      <c r="C398" s="15">
        <v>3</v>
      </c>
      <c r="D398" s="4">
        <v>73000</v>
      </c>
      <c r="E398" s="4">
        <f t="shared" si="7"/>
        <v>219000</v>
      </c>
      <c r="F398" s="2" t="s">
        <v>347</v>
      </c>
    </row>
    <row r="399" spans="1:6" ht="15.75" x14ac:dyDescent="0.25">
      <c r="A399" s="2">
        <v>42</v>
      </c>
      <c r="B399" s="2" t="s">
        <v>348</v>
      </c>
      <c r="C399" s="15">
        <v>8</v>
      </c>
      <c r="D399" s="4">
        <v>123000</v>
      </c>
      <c r="E399" s="4">
        <f t="shared" si="7"/>
        <v>984000</v>
      </c>
      <c r="F399" s="2" t="s">
        <v>349</v>
      </c>
    </row>
    <row r="400" spans="1:6" ht="15.75" x14ac:dyDescent="0.25">
      <c r="A400" s="2">
        <v>43</v>
      </c>
      <c r="B400" s="2" t="s">
        <v>350</v>
      </c>
      <c r="C400" s="15">
        <v>8</v>
      </c>
      <c r="D400" s="4">
        <v>190000</v>
      </c>
      <c r="E400" s="4">
        <f t="shared" si="7"/>
        <v>1520000</v>
      </c>
      <c r="F400" s="2"/>
    </row>
    <row r="401" spans="1:6" ht="15.75" x14ac:dyDescent="0.25">
      <c r="A401" s="2">
        <v>44</v>
      </c>
      <c r="B401" s="2" t="s">
        <v>351</v>
      </c>
      <c r="C401" s="15">
        <v>25</v>
      </c>
      <c r="D401" s="4">
        <v>59000</v>
      </c>
      <c r="E401" s="4">
        <f t="shared" si="7"/>
        <v>1475000</v>
      </c>
      <c r="F401" s="2" t="s">
        <v>352</v>
      </c>
    </row>
    <row r="402" spans="1:6" ht="15.75" x14ac:dyDescent="0.25">
      <c r="A402" s="2">
        <v>45</v>
      </c>
      <c r="B402" s="2" t="s">
        <v>353</v>
      </c>
      <c r="C402" s="15">
        <v>22</v>
      </c>
      <c r="D402" s="4">
        <v>101000</v>
      </c>
      <c r="E402" s="4">
        <f t="shared" si="7"/>
        <v>2222000</v>
      </c>
      <c r="F402" s="2" t="s">
        <v>354</v>
      </c>
    </row>
    <row r="403" spans="1:6" ht="15.75" x14ac:dyDescent="0.25">
      <c r="A403" s="2"/>
      <c r="B403" s="2" t="s">
        <v>355</v>
      </c>
      <c r="C403" s="15">
        <v>0</v>
      </c>
      <c r="D403" s="4">
        <v>74000</v>
      </c>
      <c r="E403" s="4">
        <f t="shared" si="7"/>
        <v>0</v>
      </c>
      <c r="F403" s="2"/>
    </row>
    <row r="404" spans="1:6" ht="15.75" x14ac:dyDescent="0.25">
      <c r="A404" s="2">
        <v>46</v>
      </c>
      <c r="B404" s="2" t="s">
        <v>356</v>
      </c>
      <c r="C404" s="15">
        <v>4</v>
      </c>
      <c r="D404" s="4">
        <v>165000</v>
      </c>
      <c r="E404" s="4">
        <f t="shared" si="7"/>
        <v>660000</v>
      </c>
      <c r="F404" s="2"/>
    </row>
    <row r="405" spans="1:6" ht="15.75" x14ac:dyDescent="0.25">
      <c r="A405" s="2">
        <v>47</v>
      </c>
      <c r="B405" s="2" t="s">
        <v>357</v>
      </c>
      <c r="C405" s="15">
        <v>10</v>
      </c>
      <c r="D405" s="4">
        <v>111000</v>
      </c>
      <c r="E405" s="4">
        <f t="shared" si="7"/>
        <v>1110000</v>
      </c>
      <c r="F405" s="2" t="s">
        <v>358</v>
      </c>
    </row>
    <row r="406" spans="1:6" ht="15.75" x14ac:dyDescent="0.25">
      <c r="A406" s="2">
        <v>48</v>
      </c>
      <c r="B406" s="2" t="s">
        <v>359</v>
      </c>
      <c r="C406" s="15">
        <v>2</v>
      </c>
      <c r="D406" s="4">
        <v>207000</v>
      </c>
      <c r="E406" s="4">
        <f t="shared" si="7"/>
        <v>414000</v>
      </c>
      <c r="F406" s="2" t="s">
        <v>360</v>
      </c>
    </row>
    <row r="407" spans="1:6" ht="15.75" x14ac:dyDescent="0.25">
      <c r="A407" s="2">
        <v>49</v>
      </c>
      <c r="B407" s="2" t="s">
        <v>361</v>
      </c>
      <c r="C407" s="15">
        <v>11</v>
      </c>
      <c r="D407" s="4">
        <v>79000</v>
      </c>
      <c r="E407" s="4">
        <f t="shared" si="7"/>
        <v>869000</v>
      </c>
      <c r="F407" s="2" t="s">
        <v>362</v>
      </c>
    </row>
    <row r="408" spans="1:6" ht="15.75" x14ac:dyDescent="0.25">
      <c r="A408" s="2">
        <v>50</v>
      </c>
      <c r="B408" s="2" t="s">
        <v>363</v>
      </c>
      <c r="C408" s="15">
        <v>13</v>
      </c>
      <c r="D408" s="4">
        <v>43000</v>
      </c>
      <c r="E408" s="4">
        <f t="shared" si="7"/>
        <v>559000</v>
      </c>
      <c r="F408" s="2"/>
    </row>
    <row r="409" spans="1:6" ht="15.75" x14ac:dyDescent="0.25">
      <c r="A409" s="2"/>
      <c r="B409" s="2" t="s">
        <v>364</v>
      </c>
      <c r="C409" s="15">
        <v>17</v>
      </c>
      <c r="D409" s="4">
        <v>133000</v>
      </c>
      <c r="E409" s="4">
        <f t="shared" si="7"/>
        <v>2261000</v>
      </c>
      <c r="F409" s="2" t="s">
        <v>365</v>
      </c>
    </row>
    <row r="410" spans="1:6" ht="15.75" x14ac:dyDescent="0.25">
      <c r="A410" s="2"/>
      <c r="B410" s="2" t="s">
        <v>366</v>
      </c>
      <c r="C410" s="15">
        <v>3</v>
      </c>
      <c r="D410" s="4">
        <v>144000</v>
      </c>
      <c r="E410" s="4">
        <f t="shared" si="7"/>
        <v>432000</v>
      </c>
      <c r="F410" s="2" t="s">
        <v>129</v>
      </c>
    </row>
    <row r="411" spans="1:6" ht="15.75" x14ac:dyDescent="0.25">
      <c r="A411" s="2"/>
      <c r="B411" s="2" t="s">
        <v>367</v>
      </c>
      <c r="C411" s="15">
        <v>27</v>
      </c>
      <c r="D411" s="4">
        <v>79000</v>
      </c>
      <c r="E411" s="4">
        <f t="shared" si="7"/>
        <v>2133000</v>
      </c>
      <c r="F411" s="2" t="s">
        <v>368</v>
      </c>
    </row>
    <row r="412" spans="1:6" ht="15.75" x14ac:dyDescent="0.25">
      <c r="A412" s="2">
        <v>51</v>
      </c>
      <c r="B412" s="2" t="s">
        <v>369</v>
      </c>
      <c r="C412" s="15">
        <v>15</v>
      </c>
      <c r="D412" s="4">
        <v>94000</v>
      </c>
      <c r="E412" s="4">
        <f t="shared" si="7"/>
        <v>1410000</v>
      </c>
      <c r="F412" s="2" t="s">
        <v>370</v>
      </c>
    </row>
    <row r="413" spans="1:6" ht="15.75" x14ac:dyDescent="0.25">
      <c r="A413" s="2">
        <v>52</v>
      </c>
      <c r="B413" s="2" t="s">
        <v>371</v>
      </c>
      <c r="C413" s="15">
        <v>23</v>
      </c>
      <c r="D413" s="4">
        <v>51000</v>
      </c>
      <c r="E413" s="4">
        <f t="shared" si="7"/>
        <v>1173000</v>
      </c>
      <c r="F413" s="2"/>
    </row>
    <row r="414" spans="1:6" ht="15.75" x14ac:dyDescent="0.25">
      <c r="A414" s="2">
        <v>53</v>
      </c>
      <c r="B414" s="2" t="s">
        <v>372</v>
      </c>
      <c r="C414" s="15">
        <v>3</v>
      </c>
      <c r="D414" s="4">
        <v>99000</v>
      </c>
      <c r="E414" s="4">
        <f t="shared" si="7"/>
        <v>297000</v>
      </c>
      <c r="F414" s="2" t="s">
        <v>373</v>
      </c>
    </row>
    <row r="415" spans="1:6" ht="15.75" x14ac:dyDescent="0.25">
      <c r="A415" s="2"/>
      <c r="B415" s="2" t="s">
        <v>374</v>
      </c>
      <c r="C415" s="15">
        <v>66</v>
      </c>
      <c r="D415" s="4">
        <v>79000</v>
      </c>
      <c r="E415" s="4">
        <f t="shared" si="7"/>
        <v>5214000</v>
      </c>
      <c r="F415" s="2" t="s">
        <v>375</v>
      </c>
    </row>
    <row r="416" spans="1:6" ht="15.75" x14ac:dyDescent="0.25">
      <c r="A416" s="2">
        <v>54</v>
      </c>
      <c r="B416" s="2" t="s">
        <v>376</v>
      </c>
      <c r="C416" s="15">
        <v>45</v>
      </c>
      <c r="D416" s="4">
        <v>85000</v>
      </c>
      <c r="E416" s="4">
        <f t="shared" si="7"/>
        <v>3825000</v>
      </c>
      <c r="F416" s="2"/>
    </row>
    <row r="417" spans="1:6" ht="15.75" x14ac:dyDescent="0.25">
      <c r="A417" s="2">
        <v>55</v>
      </c>
      <c r="B417" s="2" t="s">
        <v>377</v>
      </c>
      <c r="C417" s="15">
        <v>14</v>
      </c>
      <c r="D417" s="4">
        <v>7500</v>
      </c>
      <c r="E417" s="4">
        <f t="shared" si="7"/>
        <v>105000</v>
      </c>
      <c r="F417" s="2"/>
    </row>
    <row r="418" spans="1:6" ht="15.75" x14ac:dyDescent="0.25">
      <c r="A418" s="2">
        <v>56</v>
      </c>
      <c r="B418" s="2" t="s">
        <v>378</v>
      </c>
      <c r="C418" s="15">
        <v>14</v>
      </c>
      <c r="D418" s="4">
        <v>7500</v>
      </c>
      <c r="E418" s="4">
        <f t="shared" si="7"/>
        <v>105000</v>
      </c>
      <c r="F418" s="2"/>
    </row>
    <row r="419" spans="1:6" ht="15.75" x14ac:dyDescent="0.25">
      <c r="A419" s="2">
        <v>57</v>
      </c>
      <c r="B419" s="2" t="s">
        <v>379</v>
      </c>
      <c r="C419" s="15">
        <v>11</v>
      </c>
      <c r="D419" s="4">
        <v>94000</v>
      </c>
      <c r="E419" s="4">
        <f t="shared" si="7"/>
        <v>1034000</v>
      </c>
      <c r="F419" s="2" t="s">
        <v>380</v>
      </c>
    </row>
    <row r="420" spans="1:6" ht="15.75" x14ac:dyDescent="0.25">
      <c r="A420" s="2">
        <v>58</v>
      </c>
      <c r="B420" s="2" t="s">
        <v>381</v>
      </c>
      <c r="C420" s="15">
        <v>20</v>
      </c>
      <c r="D420" s="4">
        <v>7500</v>
      </c>
      <c r="E420" s="4">
        <f t="shared" si="7"/>
        <v>150000</v>
      </c>
      <c r="F420" s="2"/>
    </row>
    <row r="421" spans="1:6" ht="15.75" x14ac:dyDescent="0.25">
      <c r="A421" s="2">
        <v>59</v>
      </c>
      <c r="B421" s="2" t="s">
        <v>382</v>
      </c>
      <c r="C421" s="15">
        <v>15</v>
      </c>
      <c r="D421" s="4">
        <v>7500</v>
      </c>
      <c r="E421" s="4">
        <f t="shared" si="7"/>
        <v>112500</v>
      </c>
      <c r="F421" s="2"/>
    </row>
    <row r="422" spans="1:6" ht="15.75" x14ac:dyDescent="0.25">
      <c r="A422" s="2">
        <v>60</v>
      </c>
      <c r="B422" s="2" t="s">
        <v>383</v>
      </c>
      <c r="C422" s="15">
        <v>30</v>
      </c>
      <c r="D422" s="4">
        <v>86000</v>
      </c>
      <c r="E422" s="4">
        <f t="shared" si="7"/>
        <v>2580000</v>
      </c>
      <c r="F422" s="2" t="s">
        <v>384</v>
      </c>
    </row>
    <row r="423" spans="1:6" ht="15.75" x14ac:dyDescent="0.25">
      <c r="A423" s="2">
        <v>61</v>
      </c>
      <c r="B423" s="2" t="s">
        <v>385</v>
      </c>
      <c r="C423" s="15">
        <v>20</v>
      </c>
      <c r="D423" s="4">
        <v>98000</v>
      </c>
      <c r="E423" s="4">
        <f t="shared" si="7"/>
        <v>1960000</v>
      </c>
      <c r="F423" s="2" t="s">
        <v>386</v>
      </c>
    </row>
    <row r="424" spans="1:6" ht="15.75" x14ac:dyDescent="0.25">
      <c r="A424" s="2">
        <v>62</v>
      </c>
      <c r="B424" s="2" t="s">
        <v>387</v>
      </c>
      <c r="C424" s="15">
        <v>20</v>
      </c>
      <c r="D424" s="4">
        <v>48000</v>
      </c>
      <c r="E424" s="4">
        <f t="shared" si="7"/>
        <v>960000</v>
      </c>
      <c r="F424" s="2" t="s">
        <v>388</v>
      </c>
    </row>
    <row r="425" spans="1:6" ht="15.75" x14ac:dyDescent="0.25">
      <c r="A425" s="2">
        <v>63</v>
      </c>
      <c r="B425" s="2" t="s">
        <v>389</v>
      </c>
      <c r="C425" s="15">
        <v>21</v>
      </c>
      <c r="D425" s="4">
        <v>58000</v>
      </c>
      <c r="E425" s="4">
        <f t="shared" si="7"/>
        <v>1218000</v>
      </c>
      <c r="F425" s="2" t="s">
        <v>390</v>
      </c>
    </row>
    <row r="426" spans="1:6" ht="15.75" x14ac:dyDescent="0.25">
      <c r="A426" s="2">
        <v>65</v>
      </c>
      <c r="B426" s="2" t="s">
        <v>391</v>
      </c>
      <c r="C426" s="15">
        <v>22</v>
      </c>
      <c r="D426" s="4">
        <v>63000</v>
      </c>
      <c r="E426" s="4">
        <f t="shared" si="7"/>
        <v>1386000</v>
      </c>
      <c r="F426" s="2" t="s">
        <v>392</v>
      </c>
    </row>
    <row r="427" spans="1:6" ht="15.75" x14ac:dyDescent="0.25">
      <c r="A427" s="2">
        <v>66</v>
      </c>
      <c r="B427" s="2" t="s">
        <v>393</v>
      </c>
      <c r="C427" s="15">
        <v>11</v>
      </c>
      <c r="D427" s="4">
        <v>58000</v>
      </c>
      <c r="E427" s="4">
        <f t="shared" si="7"/>
        <v>638000</v>
      </c>
      <c r="F427" s="2"/>
    </row>
    <row r="428" spans="1:6" ht="15.75" x14ac:dyDescent="0.25">
      <c r="A428" s="2">
        <v>67</v>
      </c>
      <c r="B428" s="2" t="s">
        <v>394</v>
      </c>
      <c r="C428" s="15">
        <v>5</v>
      </c>
      <c r="D428" s="4">
        <v>39000</v>
      </c>
      <c r="E428" s="4">
        <f t="shared" si="7"/>
        <v>195000</v>
      </c>
      <c r="F428" s="2"/>
    </row>
    <row r="429" spans="1:6" ht="15.75" x14ac:dyDescent="0.25">
      <c r="A429" s="2"/>
      <c r="B429" s="2" t="s">
        <v>395</v>
      </c>
      <c r="C429" s="15">
        <v>45</v>
      </c>
      <c r="D429" s="4">
        <v>78000</v>
      </c>
      <c r="E429" s="4">
        <f t="shared" si="7"/>
        <v>3510000</v>
      </c>
      <c r="F429" s="2" t="s">
        <v>396</v>
      </c>
    </row>
    <row r="430" spans="1:6" ht="15.75" x14ac:dyDescent="0.25">
      <c r="A430" s="2"/>
      <c r="B430" s="2" t="s">
        <v>397</v>
      </c>
      <c r="C430" s="15">
        <v>6</v>
      </c>
      <c r="D430" s="4">
        <v>169000</v>
      </c>
      <c r="E430" s="4">
        <f>+C430*D430</f>
        <v>1014000</v>
      </c>
      <c r="F430" s="2"/>
    </row>
    <row r="431" spans="1:6" ht="15.75" x14ac:dyDescent="0.25">
      <c r="A431" s="2">
        <v>69</v>
      </c>
      <c r="B431" s="2" t="s">
        <v>398</v>
      </c>
      <c r="C431" s="15">
        <v>42</v>
      </c>
      <c r="D431" s="4">
        <v>70000</v>
      </c>
      <c r="E431" s="4">
        <f t="shared" si="7"/>
        <v>2940000</v>
      </c>
      <c r="F431" s="2" t="s">
        <v>399</v>
      </c>
    </row>
    <row r="432" spans="1:6" ht="15.75" x14ac:dyDescent="0.25">
      <c r="A432" s="2">
        <v>70</v>
      </c>
      <c r="B432" s="2" t="s">
        <v>400</v>
      </c>
      <c r="C432" s="15">
        <v>6</v>
      </c>
      <c r="D432" s="4">
        <v>143000</v>
      </c>
      <c r="E432" s="4">
        <f t="shared" si="7"/>
        <v>858000</v>
      </c>
      <c r="F432" s="2"/>
    </row>
    <row r="433" spans="1:6" ht="15.75" x14ac:dyDescent="0.25">
      <c r="A433" s="2">
        <v>71</v>
      </c>
      <c r="B433" s="2" t="s">
        <v>401</v>
      </c>
      <c r="C433" s="15">
        <v>10</v>
      </c>
      <c r="D433" s="4">
        <v>159000</v>
      </c>
      <c r="E433" s="4">
        <f t="shared" si="7"/>
        <v>1590000</v>
      </c>
      <c r="F433" s="2" t="s">
        <v>402</v>
      </c>
    </row>
    <row r="434" spans="1:6" ht="15.75" x14ac:dyDescent="0.25">
      <c r="A434" s="2">
        <v>72</v>
      </c>
      <c r="B434" s="2" t="s">
        <v>403</v>
      </c>
      <c r="C434" s="15">
        <v>3</v>
      </c>
      <c r="D434" s="4">
        <v>182000</v>
      </c>
      <c r="E434" s="4">
        <f t="shared" si="7"/>
        <v>546000</v>
      </c>
      <c r="F434" s="2"/>
    </row>
    <row r="435" spans="1:6" ht="15.75" x14ac:dyDescent="0.25">
      <c r="A435" s="2">
        <v>73</v>
      </c>
      <c r="B435" s="2" t="s">
        <v>404</v>
      </c>
      <c r="C435" s="15">
        <v>5</v>
      </c>
      <c r="D435" s="4">
        <v>133000</v>
      </c>
      <c r="E435" s="4">
        <f t="shared" si="7"/>
        <v>665000</v>
      </c>
      <c r="F435" s="2"/>
    </row>
    <row r="436" spans="1:6" ht="15.75" x14ac:dyDescent="0.25">
      <c r="A436" s="2">
        <v>74</v>
      </c>
      <c r="B436" s="2" t="s">
        <v>405</v>
      </c>
      <c r="C436" s="15">
        <v>9</v>
      </c>
      <c r="D436" s="4">
        <v>182000</v>
      </c>
      <c r="E436" s="4">
        <f t="shared" si="7"/>
        <v>1638000</v>
      </c>
      <c r="F436" s="2"/>
    </row>
    <row r="437" spans="1:6" ht="15.75" x14ac:dyDescent="0.25">
      <c r="A437" s="2">
        <v>75</v>
      </c>
      <c r="B437" s="2" t="s">
        <v>406</v>
      </c>
      <c r="C437" s="15">
        <v>6</v>
      </c>
      <c r="D437" s="4">
        <v>198000</v>
      </c>
      <c r="E437" s="4">
        <f t="shared" si="7"/>
        <v>1188000</v>
      </c>
      <c r="F437" s="2"/>
    </row>
    <row r="438" spans="1:6" ht="15.75" x14ac:dyDescent="0.25">
      <c r="A438" s="2"/>
      <c r="B438" s="2" t="s">
        <v>407</v>
      </c>
      <c r="C438" s="15">
        <v>2</v>
      </c>
      <c r="D438" s="4">
        <v>205000</v>
      </c>
      <c r="E438" s="4">
        <f t="shared" si="7"/>
        <v>410000</v>
      </c>
      <c r="F438" s="2" t="s">
        <v>408</v>
      </c>
    </row>
    <row r="439" spans="1:6" ht="15.75" x14ac:dyDescent="0.25">
      <c r="A439" s="2">
        <v>76</v>
      </c>
      <c r="B439" s="2" t="s">
        <v>409</v>
      </c>
      <c r="C439" s="15">
        <v>18</v>
      </c>
      <c r="D439" s="4">
        <v>138000</v>
      </c>
      <c r="E439" s="4">
        <f t="shared" si="7"/>
        <v>2484000</v>
      </c>
      <c r="F439" s="2" t="s">
        <v>410</v>
      </c>
    </row>
    <row r="440" spans="1:6" ht="15.75" x14ac:dyDescent="0.25">
      <c r="A440" s="2">
        <v>77</v>
      </c>
      <c r="B440" s="2" t="s">
        <v>411</v>
      </c>
      <c r="C440" s="15">
        <v>13</v>
      </c>
      <c r="D440" s="4">
        <v>245000</v>
      </c>
      <c r="E440" s="4">
        <f t="shared" si="7"/>
        <v>3185000</v>
      </c>
      <c r="F440" s="2" t="s">
        <v>412</v>
      </c>
    </row>
    <row r="441" spans="1:6" ht="15.75" x14ac:dyDescent="0.25">
      <c r="A441" s="2">
        <v>78</v>
      </c>
      <c r="B441" s="2" t="s">
        <v>413</v>
      </c>
      <c r="C441" s="15">
        <v>4</v>
      </c>
      <c r="D441" s="4">
        <v>274000</v>
      </c>
      <c r="E441" s="4">
        <f t="shared" si="7"/>
        <v>1096000</v>
      </c>
      <c r="F441" s="2" t="s">
        <v>414</v>
      </c>
    </row>
    <row r="442" spans="1:6" ht="15.75" x14ac:dyDescent="0.25">
      <c r="A442" s="2">
        <v>79</v>
      </c>
      <c r="B442" s="2" t="s">
        <v>415</v>
      </c>
      <c r="C442" s="15">
        <v>4</v>
      </c>
      <c r="D442" s="4">
        <v>299000</v>
      </c>
      <c r="E442" s="4">
        <f t="shared" si="7"/>
        <v>1196000</v>
      </c>
      <c r="F442" s="2" t="s">
        <v>416</v>
      </c>
    </row>
    <row r="443" spans="1:6" ht="15.75" x14ac:dyDescent="0.25">
      <c r="A443" s="2"/>
      <c r="B443" s="2" t="s">
        <v>417</v>
      </c>
      <c r="C443" s="15">
        <v>2</v>
      </c>
      <c r="D443" s="4"/>
      <c r="E443" s="4"/>
      <c r="F443" s="2"/>
    </row>
    <row r="444" spans="1:6" ht="15.75" x14ac:dyDescent="0.25">
      <c r="A444" s="2">
        <v>80</v>
      </c>
      <c r="B444" s="2" t="s">
        <v>418</v>
      </c>
      <c r="C444" s="15">
        <v>5</v>
      </c>
      <c r="D444" s="4">
        <v>192000</v>
      </c>
      <c r="E444" s="4">
        <f t="shared" si="7"/>
        <v>960000</v>
      </c>
      <c r="F444" s="2" t="s">
        <v>129</v>
      </c>
    </row>
    <row r="445" spans="1:6" ht="15.75" x14ac:dyDescent="0.25">
      <c r="A445" s="2">
        <v>81</v>
      </c>
      <c r="B445" s="2" t="s">
        <v>419</v>
      </c>
      <c r="C445" s="15">
        <v>7</v>
      </c>
      <c r="D445" s="4">
        <v>344000</v>
      </c>
      <c r="E445" s="4">
        <f t="shared" si="7"/>
        <v>2408000</v>
      </c>
      <c r="F445" s="2" t="s">
        <v>420</v>
      </c>
    </row>
    <row r="446" spans="1:6" ht="15.75" x14ac:dyDescent="0.25">
      <c r="A446" s="2">
        <v>82</v>
      </c>
      <c r="B446" s="2" t="s">
        <v>421</v>
      </c>
      <c r="C446" s="15">
        <v>5</v>
      </c>
      <c r="D446" s="4">
        <v>213000</v>
      </c>
      <c r="E446" s="4">
        <f t="shared" si="7"/>
        <v>1065000</v>
      </c>
      <c r="F446" s="2" t="s">
        <v>422</v>
      </c>
    </row>
    <row r="447" spans="1:6" ht="15.75" x14ac:dyDescent="0.25">
      <c r="A447" s="2">
        <v>83</v>
      </c>
      <c r="B447" s="2" t="s">
        <v>423</v>
      </c>
      <c r="C447" s="15">
        <v>1</v>
      </c>
      <c r="D447" s="4">
        <v>316000</v>
      </c>
      <c r="E447" s="4">
        <f t="shared" si="7"/>
        <v>316000</v>
      </c>
      <c r="F447" s="2" t="s">
        <v>424</v>
      </c>
    </row>
    <row r="448" spans="1:6" ht="15.75" x14ac:dyDescent="0.25">
      <c r="A448" s="2">
        <v>84</v>
      </c>
      <c r="B448" s="2" t="s">
        <v>425</v>
      </c>
      <c r="C448" s="15">
        <v>11</v>
      </c>
      <c r="D448" s="4">
        <v>186000</v>
      </c>
      <c r="E448" s="4">
        <f t="shared" si="7"/>
        <v>2046000</v>
      </c>
      <c r="F448" s="2" t="s">
        <v>426</v>
      </c>
    </row>
    <row r="449" spans="1:6" ht="15.75" x14ac:dyDescent="0.25">
      <c r="A449" s="2">
        <v>85</v>
      </c>
      <c r="B449" s="2" t="s">
        <v>427</v>
      </c>
      <c r="C449" s="15">
        <v>4</v>
      </c>
      <c r="D449" s="4">
        <v>222000</v>
      </c>
      <c r="E449" s="4">
        <f t="shared" si="7"/>
        <v>888000</v>
      </c>
      <c r="F449" s="2" t="s">
        <v>428</v>
      </c>
    </row>
    <row r="450" spans="1:6" ht="15.75" x14ac:dyDescent="0.25">
      <c r="A450" s="2">
        <v>86</v>
      </c>
      <c r="B450" s="2" t="s">
        <v>429</v>
      </c>
      <c r="C450" s="15">
        <v>3</v>
      </c>
      <c r="D450" s="4">
        <v>150000</v>
      </c>
      <c r="E450" s="4">
        <f t="shared" si="7"/>
        <v>450000</v>
      </c>
      <c r="F450" s="2" t="s">
        <v>430</v>
      </c>
    </row>
    <row r="451" spans="1:6" ht="15.75" x14ac:dyDescent="0.25">
      <c r="A451" s="2">
        <v>87</v>
      </c>
      <c r="B451" s="2" t="s">
        <v>431</v>
      </c>
      <c r="C451" s="15">
        <v>6</v>
      </c>
      <c r="D451" s="4">
        <v>75000</v>
      </c>
      <c r="E451" s="4">
        <f t="shared" si="7"/>
        <v>450000</v>
      </c>
      <c r="F451" s="2" t="s">
        <v>432</v>
      </c>
    </row>
    <row r="452" spans="1:6" ht="15.75" x14ac:dyDescent="0.25">
      <c r="A452" s="2">
        <v>88</v>
      </c>
      <c r="B452" s="2" t="s">
        <v>433</v>
      </c>
      <c r="C452" s="15">
        <v>10</v>
      </c>
      <c r="D452" s="4">
        <v>205000</v>
      </c>
      <c r="E452" s="4">
        <f t="shared" si="7"/>
        <v>2050000</v>
      </c>
      <c r="F452" s="2" t="s">
        <v>434</v>
      </c>
    </row>
    <row r="453" spans="1:6" ht="15.75" x14ac:dyDescent="0.25">
      <c r="A453" s="2"/>
      <c r="B453" s="2" t="s">
        <v>417</v>
      </c>
      <c r="C453" s="15">
        <v>1</v>
      </c>
      <c r="D453" s="4">
        <v>225000</v>
      </c>
      <c r="E453" s="4">
        <f t="shared" si="7"/>
        <v>225000</v>
      </c>
      <c r="F453" s="2"/>
    </row>
    <row r="454" spans="1:6" ht="15.75" x14ac:dyDescent="0.25">
      <c r="A454" s="2">
        <v>89</v>
      </c>
      <c r="B454" s="2" t="s">
        <v>435</v>
      </c>
      <c r="C454" s="15">
        <v>13</v>
      </c>
      <c r="D454" s="4">
        <v>225000</v>
      </c>
      <c r="E454" s="4">
        <f t="shared" si="7"/>
        <v>2925000</v>
      </c>
      <c r="F454" s="2" t="s">
        <v>436</v>
      </c>
    </row>
    <row r="455" spans="1:6" ht="15.75" x14ac:dyDescent="0.25">
      <c r="A455" s="2">
        <v>90</v>
      </c>
      <c r="B455" s="2" t="s">
        <v>437</v>
      </c>
      <c r="C455" s="15">
        <v>4</v>
      </c>
      <c r="D455" s="4">
        <v>203000</v>
      </c>
      <c r="E455" s="4">
        <f t="shared" si="7"/>
        <v>812000</v>
      </c>
      <c r="F455" s="2" t="s">
        <v>129</v>
      </c>
    </row>
    <row r="456" spans="1:6" ht="15.75" x14ac:dyDescent="0.25">
      <c r="A456" s="2"/>
      <c r="B456" s="2" t="s">
        <v>438</v>
      </c>
      <c r="C456" s="15">
        <v>0</v>
      </c>
      <c r="D456" s="4">
        <v>359000</v>
      </c>
      <c r="E456" s="4">
        <f t="shared" si="7"/>
        <v>0</v>
      </c>
      <c r="F456" s="2" t="s">
        <v>129</v>
      </c>
    </row>
    <row r="457" spans="1:6" ht="15.75" x14ac:dyDescent="0.25">
      <c r="A457" s="2"/>
      <c r="B457" s="2" t="s">
        <v>439</v>
      </c>
      <c r="C457" s="15">
        <v>0</v>
      </c>
      <c r="D457" s="4">
        <v>1078000</v>
      </c>
      <c r="E457" s="4">
        <f t="shared" si="7"/>
        <v>0</v>
      </c>
      <c r="F457" s="2" t="s">
        <v>85</v>
      </c>
    </row>
    <row r="458" spans="1:6" ht="15.75" x14ac:dyDescent="0.25">
      <c r="A458" s="2">
        <v>91</v>
      </c>
      <c r="B458" s="2" t="s">
        <v>440</v>
      </c>
      <c r="C458" s="15">
        <v>0</v>
      </c>
      <c r="D458" s="4">
        <v>225000</v>
      </c>
      <c r="E458" s="4">
        <f t="shared" si="7"/>
        <v>0</v>
      </c>
      <c r="F458" s="2" t="s">
        <v>129</v>
      </c>
    </row>
    <row r="459" spans="1:6" ht="15.75" x14ac:dyDescent="0.25">
      <c r="A459" s="2"/>
      <c r="B459" s="2" t="s">
        <v>441</v>
      </c>
      <c r="C459" s="15">
        <v>3</v>
      </c>
      <c r="D459" s="4"/>
      <c r="E459" s="4"/>
      <c r="F459" s="2" t="s">
        <v>442</v>
      </c>
    </row>
    <row r="460" spans="1:6" ht="15.75" x14ac:dyDescent="0.25">
      <c r="A460" s="2">
        <v>92</v>
      </c>
      <c r="B460" s="2" t="s">
        <v>443</v>
      </c>
      <c r="C460" s="15">
        <v>25</v>
      </c>
      <c r="D460" s="4">
        <v>109000</v>
      </c>
      <c r="E460" s="4">
        <f t="shared" ref="E460:E571" si="8">+C460*D460</f>
        <v>2725000</v>
      </c>
      <c r="F460" s="2" t="s">
        <v>444</v>
      </c>
    </row>
    <row r="461" spans="1:6" ht="15.75" x14ac:dyDescent="0.25">
      <c r="A461" s="2">
        <v>93</v>
      </c>
      <c r="B461" s="2" t="s">
        <v>445</v>
      </c>
      <c r="C461" s="15">
        <v>0</v>
      </c>
      <c r="D461" s="4">
        <v>178000</v>
      </c>
      <c r="E461" s="4">
        <f t="shared" si="8"/>
        <v>0</v>
      </c>
      <c r="F461" s="2"/>
    </row>
    <row r="462" spans="1:6" ht="15.75" x14ac:dyDescent="0.25">
      <c r="A462" s="2">
        <v>94</v>
      </c>
      <c r="B462" s="2" t="s">
        <v>446</v>
      </c>
      <c r="C462" s="15">
        <v>0</v>
      </c>
      <c r="D462" s="4">
        <v>153000</v>
      </c>
      <c r="E462" s="4">
        <f t="shared" si="8"/>
        <v>0</v>
      </c>
      <c r="F462" s="2"/>
    </row>
    <row r="463" spans="1:6" ht="15.75" x14ac:dyDescent="0.25">
      <c r="A463" s="2">
        <v>95</v>
      </c>
      <c r="B463" s="2" t="s">
        <v>447</v>
      </c>
      <c r="C463" s="15">
        <v>21</v>
      </c>
      <c r="D463" s="4">
        <v>145000</v>
      </c>
      <c r="E463" s="4">
        <f t="shared" si="8"/>
        <v>3045000</v>
      </c>
      <c r="F463" s="2" t="s">
        <v>448</v>
      </c>
    </row>
    <row r="464" spans="1:6" ht="15.75" x14ac:dyDescent="0.25">
      <c r="A464" s="2">
        <v>96</v>
      </c>
      <c r="B464" s="2" t="s">
        <v>449</v>
      </c>
      <c r="C464" s="15">
        <v>6</v>
      </c>
      <c r="D464" s="4">
        <v>122000</v>
      </c>
      <c r="E464" s="4">
        <f t="shared" si="8"/>
        <v>732000</v>
      </c>
      <c r="F464" s="2"/>
    </row>
    <row r="465" spans="1:6" ht="15.75" x14ac:dyDescent="0.25">
      <c r="A465" s="2">
        <v>97</v>
      </c>
      <c r="B465" s="2" t="s">
        <v>450</v>
      </c>
      <c r="C465" s="15">
        <v>3</v>
      </c>
      <c r="D465" s="4">
        <v>385000</v>
      </c>
      <c r="E465" s="4">
        <f t="shared" si="8"/>
        <v>1155000</v>
      </c>
      <c r="F465" s="2"/>
    </row>
    <row r="466" spans="1:6" ht="15.75" x14ac:dyDescent="0.25">
      <c r="A466" s="2">
        <v>98</v>
      </c>
      <c r="B466" s="2" t="s">
        <v>451</v>
      </c>
      <c r="C466" s="15">
        <v>9</v>
      </c>
      <c r="D466" s="4">
        <v>191000</v>
      </c>
      <c r="E466" s="4">
        <f t="shared" si="8"/>
        <v>1719000</v>
      </c>
      <c r="F466" s="2"/>
    </row>
    <row r="467" spans="1:6" ht="15.75" x14ac:dyDescent="0.25">
      <c r="A467" s="2">
        <v>99</v>
      </c>
      <c r="B467" s="2" t="s">
        <v>452</v>
      </c>
      <c r="C467" s="15">
        <v>10</v>
      </c>
      <c r="D467" s="4">
        <v>305000</v>
      </c>
      <c r="E467" s="4">
        <f t="shared" si="8"/>
        <v>3050000</v>
      </c>
      <c r="F467" s="2" t="s">
        <v>453</v>
      </c>
    </row>
    <row r="468" spans="1:6" ht="15.75" x14ac:dyDescent="0.25">
      <c r="A468" s="2">
        <v>100</v>
      </c>
      <c r="B468" s="2" t="s">
        <v>454</v>
      </c>
      <c r="C468" s="15">
        <v>1</v>
      </c>
      <c r="D468" s="4">
        <v>457000</v>
      </c>
      <c r="E468" s="4">
        <f t="shared" si="8"/>
        <v>457000</v>
      </c>
      <c r="F468" s="2"/>
    </row>
    <row r="469" spans="1:6" ht="15.75" x14ac:dyDescent="0.25">
      <c r="A469" s="2"/>
      <c r="B469" s="2" t="s">
        <v>455</v>
      </c>
      <c r="C469" s="15">
        <v>1</v>
      </c>
      <c r="D469" s="4">
        <v>663000</v>
      </c>
      <c r="E469" s="4">
        <f t="shared" si="8"/>
        <v>663000</v>
      </c>
      <c r="F469" s="2"/>
    </row>
    <row r="470" spans="1:6" ht="15.75" x14ac:dyDescent="0.25">
      <c r="A470" s="2">
        <v>101</v>
      </c>
      <c r="B470" s="2" t="s">
        <v>456</v>
      </c>
      <c r="C470" s="15">
        <v>2</v>
      </c>
      <c r="D470" s="4">
        <v>685000</v>
      </c>
      <c r="E470" s="4">
        <f t="shared" si="8"/>
        <v>1370000</v>
      </c>
      <c r="F470" s="2"/>
    </row>
    <row r="471" spans="1:6" ht="15.75" x14ac:dyDescent="0.25">
      <c r="A471" s="2">
        <v>104</v>
      </c>
      <c r="B471" s="2" t="s">
        <v>457</v>
      </c>
      <c r="C471" s="15">
        <v>3</v>
      </c>
      <c r="D471" s="4">
        <v>483000</v>
      </c>
      <c r="E471" s="4">
        <f t="shared" si="8"/>
        <v>1449000</v>
      </c>
      <c r="F471" s="2" t="s">
        <v>373</v>
      </c>
    </row>
    <row r="472" spans="1:6" ht="15.75" x14ac:dyDescent="0.25">
      <c r="A472" s="2"/>
      <c r="B472" s="2"/>
      <c r="C472" s="15"/>
      <c r="D472" s="4"/>
      <c r="E472" s="4">
        <f t="shared" si="8"/>
        <v>0</v>
      </c>
      <c r="F472" s="2"/>
    </row>
    <row r="473" spans="1:6" ht="31.5" x14ac:dyDescent="0.5">
      <c r="A473" s="1"/>
      <c r="B473" s="20" t="s">
        <v>458</v>
      </c>
      <c r="C473" s="5"/>
      <c r="D473" s="19"/>
      <c r="E473" s="19">
        <f t="shared" si="8"/>
        <v>0</v>
      </c>
      <c r="F473" s="1"/>
    </row>
    <row r="474" spans="1:6" ht="15.75" x14ac:dyDescent="0.25">
      <c r="A474" s="2"/>
      <c r="B474" s="2" t="s">
        <v>459</v>
      </c>
      <c r="C474" s="15">
        <v>24</v>
      </c>
      <c r="D474" s="4">
        <v>44000</v>
      </c>
      <c r="E474" s="4">
        <f t="shared" si="8"/>
        <v>1056000</v>
      </c>
      <c r="F474" s="2"/>
    </row>
    <row r="475" spans="1:6" ht="15.75" x14ac:dyDescent="0.25">
      <c r="A475" s="2"/>
      <c r="B475" s="2" t="s">
        <v>460</v>
      </c>
      <c r="C475" s="15">
        <v>16</v>
      </c>
      <c r="D475" s="4">
        <v>51000</v>
      </c>
      <c r="E475" s="4">
        <f t="shared" si="8"/>
        <v>816000</v>
      </c>
      <c r="F475" s="2"/>
    </row>
    <row r="476" spans="1:6" ht="15.75" x14ac:dyDescent="0.25">
      <c r="A476" s="2"/>
      <c r="B476" s="2" t="s">
        <v>461</v>
      </c>
      <c r="C476" s="15">
        <v>19</v>
      </c>
      <c r="D476" s="4">
        <v>55000</v>
      </c>
      <c r="E476" s="4">
        <f t="shared" si="8"/>
        <v>1045000</v>
      </c>
      <c r="F476" s="2"/>
    </row>
    <row r="477" spans="1:6" ht="15.75" x14ac:dyDescent="0.25">
      <c r="A477" s="2"/>
      <c r="B477" s="2" t="s">
        <v>462</v>
      </c>
      <c r="C477" s="15">
        <v>9</v>
      </c>
      <c r="D477" s="4">
        <v>70000</v>
      </c>
      <c r="E477" s="4">
        <f t="shared" si="8"/>
        <v>630000</v>
      </c>
      <c r="F477" s="2"/>
    </row>
    <row r="478" spans="1:6" ht="15.75" x14ac:dyDescent="0.25">
      <c r="A478" s="2"/>
      <c r="B478" s="2" t="s">
        <v>463</v>
      </c>
      <c r="C478" s="15">
        <v>10</v>
      </c>
      <c r="D478" s="4"/>
      <c r="E478" s="4"/>
      <c r="F478" s="2"/>
    </row>
    <row r="479" spans="1:6" ht="15.75" x14ac:dyDescent="0.25">
      <c r="A479" s="2"/>
      <c r="B479" s="2" t="s">
        <v>464</v>
      </c>
      <c r="C479" s="15">
        <v>5</v>
      </c>
      <c r="D479" s="4"/>
      <c r="E479" s="4"/>
      <c r="F479" s="2"/>
    </row>
    <row r="480" spans="1:6" ht="15.75" x14ac:dyDescent="0.25">
      <c r="A480" s="2"/>
      <c r="B480" s="2" t="s">
        <v>465</v>
      </c>
      <c r="C480" s="15">
        <v>6</v>
      </c>
      <c r="D480" s="4"/>
      <c r="E480" s="4"/>
      <c r="F480" s="2"/>
    </row>
    <row r="481" spans="1:6" ht="15.75" x14ac:dyDescent="0.25">
      <c r="A481" s="2"/>
      <c r="B481" s="2" t="s">
        <v>466</v>
      </c>
      <c r="C481" s="15">
        <v>0</v>
      </c>
      <c r="D481" s="4">
        <v>185000</v>
      </c>
      <c r="E481" s="4">
        <f t="shared" si="8"/>
        <v>0</v>
      </c>
      <c r="F481" s="2"/>
    </row>
    <row r="482" spans="1:6" ht="15.75" x14ac:dyDescent="0.25">
      <c r="A482" s="2"/>
      <c r="B482" s="2" t="s">
        <v>467</v>
      </c>
      <c r="C482" s="15">
        <v>4</v>
      </c>
      <c r="D482" s="4">
        <v>230000</v>
      </c>
      <c r="E482" s="4">
        <f t="shared" si="8"/>
        <v>920000</v>
      </c>
      <c r="F482" s="2"/>
    </row>
    <row r="483" spans="1:6" ht="15.75" x14ac:dyDescent="0.25">
      <c r="A483" s="2"/>
      <c r="B483" s="2" t="s">
        <v>468</v>
      </c>
      <c r="C483" s="15">
        <v>4</v>
      </c>
      <c r="D483" s="4">
        <v>185000</v>
      </c>
      <c r="E483" s="4">
        <f t="shared" si="8"/>
        <v>740000</v>
      </c>
      <c r="F483" s="2"/>
    </row>
    <row r="484" spans="1:6" ht="15.75" x14ac:dyDescent="0.25">
      <c r="A484" s="2"/>
      <c r="B484" s="2" t="s">
        <v>469</v>
      </c>
      <c r="C484" s="15">
        <v>4</v>
      </c>
      <c r="D484" s="4">
        <v>230000</v>
      </c>
      <c r="E484" s="4">
        <f t="shared" si="8"/>
        <v>920000</v>
      </c>
      <c r="F484" s="2"/>
    </row>
    <row r="485" spans="1:6" ht="15.75" x14ac:dyDescent="0.25">
      <c r="A485" s="2"/>
      <c r="B485" s="2"/>
      <c r="C485" s="15"/>
      <c r="D485" s="4"/>
      <c r="E485" s="4"/>
      <c r="F485" s="2"/>
    </row>
    <row r="486" spans="1:6" ht="15.75" x14ac:dyDescent="0.25">
      <c r="A486" s="2"/>
      <c r="B486" s="2" t="s">
        <v>470</v>
      </c>
      <c r="C486" s="15"/>
      <c r="D486" s="4"/>
      <c r="E486" s="4">
        <f t="shared" si="8"/>
        <v>0</v>
      </c>
      <c r="F486" s="2"/>
    </row>
    <row r="487" spans="1:6" ht="15.75" x14ac:dyDescent="0.25">
      <c r="A487" s="2"/>
      <c r="B487" s="2" t="s">
        <v>471</v>
      </c>
      <c r="C487" s="15">
        <v>20</v>
      </c>
      <c r="D487" s="4">
        <v>43000</v>
      </c>
      <c r="E487" s="4">
        <f t="shared" si="8"/>
        <v>860000</v>
      </c>
      <c r="F487" s="2"/>
    </row>
    <row r="488" spans="1:6" ht="15.75" x14ac:dyDescent="0.25">
      <c r="A488" s="2"/>
      <c r="B488" s="2"/>
      <c r="C488" s="15"/>
      <c r="D488" s="4"/>
      <c r="E488" s="4">
        <f t="shared" si="8"/>
        <v>0</v>
      </c>
      <c r="F488" s="2"/>
    </row>
    <row r="489" spans="1:6" ht="15.75" x14ac:dyDescent="0.25">
      <c r="A489" s="2"/>
      <c r="B489" s="2"/>
      <c r="C489" s="15"/>
      <c r="D489" s="4"/>
      <c r="E489" s="4">
        <f t="shared" si="8"/>
        <v>0</v>
      </c>
      <c r="F489" s="2"/>
    </row>
    <row r="490" spans="1:6" ht="15.75" x14ac:dyDescent="0.25">
      <c r="A490" s="2"/>
      <c r="B490" s="2"/>
      <c r="C490" s="15"/>
      <c r="D490" s="4"/>
      <c r="E490" s="4"/>
      <c r="F490" s="2"/>
    </row>
    <row r="491" spans="1:6" ht="31.5" x14ac:dyDescent="0.5">
      <c r="A491" s="1"/>
      <c r="B491" s="20" t="s">
        <v>472</v>
      </c>
      <c r="C491" s="5"/>
      <c r="D491" s="19"/>
      <c r="E491" s="19">
        <f t="shared" si="8"/>
        <v>0</v>
      </c>
      <c r="F491" s="1"/>
    </row>
    <row r="492" spans="1:6" ht="15.75" x14ac:dyDescent="0.25">
      <c r="A492" s="2">
        <v>1</v>
      </c>
      <c r="B492" s="2" t="s">
        <v>473</v>
      </c>
      <c r="C492" s="15">
        <v>0</v>
      </c>
      <c r="D492" s="4">
        <v>33500</v>
      </c>
      <c r="E492" s="4">
        <f t="shared" si="8"/>
        <v>0</v>
      </c>
      <c r="F492" s="2" t="s">
        <v>474</v>
      </c>
    </row>
    <row r="493" spans="1:6" ht="15.75" x14ac:dyDescent="0.25">
      <c r="A493" s="2">
        <v>2</v>
      </c>
      <c r="B493" s="2" t="s">
        <v>475</v>
      </c>
      <c r="C493" s="15">
        <v>0</v>
      </c>
      <c r="D493" s="4">
        <v>43000</v>
      </c>
      <c r="E493" s="4">
        <f t="shared" si="8"/>
        <v>0</v>
      </c>
      <c r="F493" s="2" t="s">
        <v>129</v>
      </c>
    </row>
    <row r="494" spans="1:6" ht="15.75" x14ac:dyDescent="0.25">
      <c r="A494" s="2">
        <v>3</v>
      </c>
      <c r="B494" s="2" t="s">
        <v>476</v>
      </c>
      <c r="C494" s="15">
        <v>2</v>
      </c>
      <c r="D494" s="4">
        <v>65000</v>
      </c>
      <c r="E494" s="4">
        <f t="shared" si="8"/>
        <v>130000</v>
      </c>
      <c r="F494" s="2"/>
    </row>
    <row r="495" spans="1:6" ht="15.75" x14ac:dyDescent="0.25">
      <c r="A495" s="2">
        <v>4</v>
      </c>
      <c r="B495" s="2" t="s">
        <v>477</v>
      </c>
      <c r="C495" s="15">
        <v>106</v>
      </c>
      <c r="D495" s="4">
        <v>91000</v>
      </c>
      <c r="E495" s="4">
        <f t="shared" si="8"/>
        <v>9646000</v>
      </c>
      <c r="F495" s="2"/>
    </row>
    <row r="496" spans="1:6" ht="15.75" x14ac:dyDescent="0.25">
      <c r="A496" s="2">
        <v>5</v>
      </c>
      <c r="B496" s="2" t="s">
        <v>478</v>
      </c>
      <c r="C496" s="15">
        <v>0</v>
      </c>
      <c r="D496" s="4">
        <v>23500</v>
      </c>
      <c r="E496" s="4">
        <f t="shared" si="8"/>
        <v>0</v>
      </c>
      <c r="F496" s="2"/>
    </row>
    <row r="497" spans="1:6" ht="15.75" x14ac:dyDescent="0.25">
      <c r="A497" s="2">
        <v>6</v>
      </c>
      <c r="B497" s="2" t="s">
        <v>479</v>
      </c>
      <c r="C497" s="15">
        <v>0</v>
      </c>
      <c r="D497" s="4">
        <v>87000</v>
      </c>
      <c r="E497" s="4">
        <f t="shared" si="8"/>
        <v>0</v>
      </c>
      <c r="F497" s="2"/>
    </row>
    <row r="498" spans="1:6" ht="15.75" x14ac:dyDescent="0.25">
      <c r="A498" s="2">
        <v>7</v>
      </c>
      <c r="B498" s="2" t="s">
        <v>480</v>
      </c>
      <c r="C498" s="15">
        <v>3</v>
      </c>
      <c r="D498" s="4">
        <v>76000</v>
      </c>
      <c r="E498" s="4">
        <f t="shared" si="8"/>
        <v>228000</v>
      </c>
      <c r="F498" s="2" t="s">
        <v>481</v>
      </c>
    </row>
    <row r="499" spans="1:6" ht="15.75" x14ac:dyDescent="0.25">
      <c r="A499" s="2">
        <v>8</v>
      </c>
      <c r="B499" s="2" t="s">
        <v>482</v>
      </c>
      <c r="C499" s="15">
        <v>0</v>
      </c>
      <c r="D499" s="4">
        <v>78500</v>
      </c>
      <c r="E499" s="4">
        <f t="shared" si="8"/>
        <v>0</v>
      </c>
      <c r="F499" s="2"/>
    </row>
    <row r="500" spans="1:6" ht="15.75" x14ac:dyDescent="0.25">
      <c r="A500" s="2">
        <v>9</v>
      </c>
      <c r="B500" s="2" t="s">
        <v>483</v>
      </c>
      <c r="C500" s="15">
        <v>17</v>
      </c>
      <c r="D500" s="4">
        <v>35000</v>
      </c>
      <c r="E500" s="4">
        <f t="shared" si="8"/>
        <v>595000</v>
      </c>
      <c r="F500" s="2"/>
    </row>
    <row r="501" spans="1:6" ht="15.75" x14ac:dyDescent="0.25">
      <c r="A501" s="2"/>
      <c r="B501" s="2"/>
      <c r="C501" s="15"/>
      <c r="D501" s="4"/>
      <c r="E501" s="4">
        <f t="shared" si="8"/>
        <v>0</v>
      </c>
      <c r="F501" s="2"/>
    </row>
    <row r="502" spans="1:6" ht="31.5" x14ac:dyDescent="0.5">
      <c r="A502" s="1"/>
      <c r="B502" s="20" t="s">
        <v>484</v>
      </c>
      <c r="C502" s="5"/>
      <c r="D502" s="19"/>
      <c r="E502" s="19">
        <f t="shared" si="8"/>
        <v>0</v>
      </c>
      <c r="F502" s="1"/>
    </row>
    <row r="503" spans="1:6" ht="15.75" x14ac:dyDescent="0.25">
      <c r="A503" s="2"/>
      <c r="B503" s="2"/>
      <c r="C503" s="15"/>
      <c r="D503" s="4"/>
      <c r="E503" s="4">
        <f t="shared" si="8"/>
        <v>0</v>
      </c>
      <c r="F503" s="2"/>
    </row>
    <row r="504" spans="1:6" ht="15.75" x14ac:dyDescent="0.25">
      <c r="A504" s="2">
        <v>2</v>
      </c>
      <c r="B504" s="2" t="s">
        <v>485</v>
      </c>
      <c r="C504" s="15"/>
      <c r="D504" s="4"/>
      <c r="E504" s="4">
        <f t="shared" si="8"/>
        <v>0</v>
      </c>
      <c r="F504" s="2"/>
    </row>
    <row r="505" spans="1:6" ht="15.75" x14ac:dyDescent="0.25">
      <c r="A505" s="2"/>
      <c r="B505" s="2" t="s">
        <v>19</v>
      </c>
      <c r="C505" s="15">
        <v>60</v>
      </c>
      <c r="D505" s="4">
        <v>7300</v>
      </c>
      <c r="E505" s="4">
        <f t="shared" si="8"/>
        <v>438000</v>
      </c>
      <c r="F505" s="2"/>
    </row>
    <row r="506" spans="1:6" ht="15.75" x14ac:dyDescent="0.25">
      <c r="A506" s="2"/>
      <c r="B506" s="2" t="s">
        <v>129</v>
      </c>
      <c r="C506" s="15">
        <v>60</v>
      </c>
      <c r="D506" s="4">
        <v>7300</v>
      </c>
      <c r="E506" s="4">
        <f t="shared" si="8"/>
        <v>438000</v>
      </c>
      <c r="F506" s="2"/>
    </row>
    <row r="507" spans="1:6" ht="15.75" x14ac:dyDescent="0.25">
      <c r="A507" s="2"/>
      <c r="B507" s="2" t="s">
        <v>486</v>
      </c>
      <c r="C507" s="15">
        <v>60</v>
      </c>
      <c r="D507" s="4">
        <v>7300</v>
      </c>
      <c r="E507" s="4">
        <f t="shared" si="8"/>
        <v>438000</v>
      </c>
      <c r="F507" s="2"/>
    </row>
    <row r="508" spans="1:6" ht="15.75" x14ac:dyDescent="0.25">
      <c r="A508" s="2"/>
      <c r="B508" s="2" t="s">
        <v>386</v>
      </c>
      <c r="C508" s="15">
        <v>5</v>
      </c>
      <c r="D508" s="4">
        <v>7300</v>
      </c>
      <c r="E508" s="4">
        <f t="shared" si="8"/>
        <v>36500</v>
      </c>
      <c r="F508" s="2"/>
    </row>
    <row r="509" spans="1:6" ht="15.75" x14ac:dyDescent="0.25">
      <c r="A509" s="2"/>
      <c r="B509" s="2"/>
      <c r="C509" s="15">
        <f>SUM(C505:C508)</f>
        <v>185</v>
      </c>
      <c r="D509" s="4"/>
      <c r="E509" s="4">
        <f t="shared" si="8"/>
        <v>0</v>
      </c>
      <c r="F509" s="2"/>
    </row>
    <row r="510" spans="1:6" ht="15.75" x14ac:dyDescent="0.25">
      <c r="A510" s="2">
        <v>3</v>
      </c>
      <c r="B510" s="2" t="s">
        <v>487</v>
      </c>
      <c r="C510" s="15">
        <v>142</v>
      </c>
      <c r="D510" s="4">
        <v>16200</v>
      </c>
      <c r="E510" s="4">
        <f t="shared" si="8"/>
        <v>2300400</v>
      </c>
      <c r="F510" s="2"/>
    </row>
    <row r="511" spans="1:6" ht="15.75" x14ac:dyDescent="0.25">
      <c r="A511" s="2">
        <v>4</v>
      </c>
      <c r="B511" s="2" t="s">
        <v>488</v>
      </c>
      <c r="C511" s="15"/>
      <c r="D511" s="4"/>
      <c r="E511" s="4">
        <f t="shared" si="8"/>
        <v>0</v>
      </c>
      <c r="F511" s="2"/>
    </row>
    <row r="512" spans="1:6" ht="15.75" x14ac:dyDescent="0.25">
      <c r="A512" s="2"/>
      <c r="B512" s="2" t="s">
        <v>24</v>
      </c>
      <c r="C512" s="15">
        <v>6</v>
      </c>
      <c r="D512" s="4">
        <v>38000</v>
      </c>
      <c r="E512" s="4">
        <f t="shared" si="8"/>
        <v>228000</v>
      </c>
      <c r="F512" s="2"/>
    </row>
    <row r="513" spans="1:6" ht="15.75" x14ac:dyDescent="0.25">
      <c r="A513" s="2"/>
      <c r="B513" s="2" t="s">
        <v>25</v>
      </c>
      <c r="C513" s="15">
        <v>4</v>
      </c>
      <c r="D513" s="4">
        <v>38000</v>
      </c>
      <c r="E513" s="4">
        <f t="shared" si="8"/>
        <v>152000</v>
      </c>
      <c r="F513" s="2"/>
    </row>
    <row r="514" spans="1:6" ht="15.75" x14ac:dyDescent="0.25">
      <c r="A514" s="2"/>
      <c r="B514" s="2" t="s">
        <v>8</v>
      </c>
      <c r="C514" s="15">
        <v>6</v>
      </c>
      <c r="D514" s="4">
        <v>38000</v>
      </c>
      <c r="E514" s="4">
        <f t="shared" si="8"/>
        <v>228000</v>
      </c>
      <c r="F514" s="2"/>
    </row>
    <row r="515" spans="1:6" ht="15.75" x14ac:dyDescent="0.25">
      <c r="A515" s="2"/>
      <c r="B515" s="2" t="s">
        <v>26</v>
      </c>
      <c r="C515" s="15">
        <v>5</v>
      </c>
      <c r="D515" s="4">
        <v>38000</v>
      </c>
      <c r="E515" s="4">
        <f t="shared" si="8"/>
        <v>190000</v>
      </c>
      <c r="F515" s="2"/>
    </row>
    <row r="516" spans="1:6" ht="15.75" x14ac:dyDescent="0.25">
      <c r="A516" s="2"/>
      <c r="B516" s="2"/>
      <c r="C516" s="15">
        <f>SUM(C512:C515)</f>
        <v>21</v>
      </c>
      <c r="D516" s="4"/>
      <c r="E516" s="4"/>
      <c r="F516" s="2"/>
    </row>
    <row r="517" spans="1:6" ht="15.75" x14ac:dyDescent="0.25">
      <c r="A517" s="2"/>
      <c r="B517" s="2"/>
      <c r="C517" s="15"/>
      <c r="D517" s="4"/>
      <c r="E517" s="4"/>
      <c r="F517" s="2"/>
    </row>
    <row r="518" spans="1:6" ht="15.75" x14ac:dyDescent="0.25">
      <c r="A518" s="2"/>
      <c r="B518" s="2" t="s">
        <v>489</v>
      </c>
      <c r="C518" s="15"/>
      <c r="D518" s="4"/>
      <c r="E518" s="4">
        <f t="shared" si="8"/>
        <v>0</v>
      </c>
      <c r="F518" s="2"/>
    </row>
    <row r="519" spans="1:6" ht="15.75" x14ac:dyDescent="0.25">
      <c r="A519" s="2"/>
      <c r="B519" s="2" t="s">
        <v>129</v>
      </c>
      <c r="C519" s="15">
        <v>14</v>
      </c>
      <c r="D519" s="4">
        <v>35000</v>
      </c>
      <c r="E519" s="4">
        <f t="shared" si="8"/>
        <v>490000</v>
      </c>
      <c r="F519" s="2"/>
    </row>
    <row r="520" spans="1:6" ht="15.75" x14ac:dyDescent="0.25">
      <c r="A520" s="2"/>
      <c r="B520" s="2" t="s">
        <v>93</v>
      </c>
      <c r="C520" s="15">
        <v>15</v>
      </c>
      <c r="D520" s="4">
        <v>35000</v>
      </c>
      <c r="E520" s="4">
        <f t="shared" si="8"/>
        <v>525000</v>
      </c>
      <c r="F520" s="2"/>
    </row>
    <row r="521" spans="1:6" ht="15.75" x14ac:dyDescent="0.25">
      <c r="A521" s="2"/>
      <c r="B521" s="2" t="s">
        <v>132</v>
      </c>
      <c r="C521" s="15">
        <v>15</v>
      </c>
      <c r="D521" s="4">
        <v>35000</v>
      </c>
      <c r="E521" s="4">
        <f t="shared" si="8"/>
        <v>525000</v>
      </c>
      <c r="F521" s="2"/>
    </row>
    <row r="522" spans="1:6" ht="15.75" x14ac:dyDescent="0.25">
      <c r="A522" s="2"/>
      <c r="B522" s="2"/>
      <c r="C522" s="15">
        <f>SUM(C519:C521)</f>
        <v>44</v>
      </c>
      <c r="D522" s="4"/>
      <c r="E522" s="4"/>
      <c r="F522" s="2"/>
    </row>
    <row r="523" spans="1:6" ht="15.75" x14ac:dyDescent="0.25">
      <c r="A523" s="2"/>
      <c r="B523" s="2" t="s">
        <v>490</v>
      </c>
      <c r="C523" s="15"/>
      <c r="D523" s="4"/>
      <c r="E523" s="4"/>
      <c r="F523" s="2"/>
    </row>
    <row r="524" spans="1:6" ht="15.75" x14ac:dyDescent="0.25">
      <c r="A524" s="2"/>
      <c r="B524" s="2" t="s">
        <v>386</v>
      </c>
      <c r="C524" s="15">
        <v>29</v>
      </c>
      <c r="D524" s="4">
        <v>33000</v>
      </c>
      <c r="E524" s="4">
        <f t="shared" si="8"/>
        <v>957000</v>
      </c>
      <c r="F524" s="2"/>
    </row>
    <row r="525" spans="1:6" ht="15.75" x14ac:dyDescent="0.25">
      <c r="A525" s="2"/>
      <c r="B525" s="2" t="s">
        <v>491</v>
      </c>
      <c r="C525" s="15">
        <v>26</v>
      </c>
      <c r="D525" s="4">
        <v>33000</v>
      </c>
      <c r="E525" s="4">
        <f t="shared" si="8"/>
        <v>858000</v>
      </c>
      <c r="F525" s="2"/>
    </row>
    <row r="526" spans="1:6" ht="15.75" x14ac:dyDescent="0.25">
      <c r="A526" s="2"/>
      <c r="B526" s="2"/>
      <c r="C526" s="15">
        <f>SUM(C524:C525)</f>
        <v>55</v>
      </c>
      <c r="D526" s="4"/>
      <c r="E526" s="4">
        <f t="shared" si="8"/>
        <v>0</v>
      </c>
      <c r="F526" s="2"/>
    </row>
    <row r="527" spans="1:6" ht="15.75" x14ac:dyDescent="0.25">
      <c r="A527" s="2"/>
      <c r="B527" s="2"/>
      <c r="C527" s="15"/>
      <c r="D527" s="4"/>
      <c r="E527" s="4"/>
      <c r="F527" s="2"/>
    </row>
    <row r="528" spans="1:6" ht="15.75" x14ac:dyDescent="0.25">
      <c r="A528" s="2"/>
      <c r="B528" s="2" t="s">
        <v>492</v>
      </c>
      <c r="C528" s="15"/>
      <c r="D528" s="4"/>
      <c r="E528" s="4"/>
      <c r="F528" s="2"/>
    </row>
    <row r="529" spans="1:6" ht="15.75" x14ac:dyDescent="0.25">
      <c r="A529" s="2"/>
      <c r="B529" s="2" t="s">
        <v>129</v>
      </c>
      <c r="C529" s="15">
        <v>6</v>
      </c>
      <c r="D529" s="4">
        <v>40000</v>
      </c>
      <c r="E529" s="4">
        <f>+C529*D529</f>
        <v>240000</v>
      </c>
      <c r="F529" s="2"/>
    </row>
    <row r="530" spans="1:6" ht="15.75" x14ac:dyDescent="0.25">
      <c r="A530" s="2"/>
      <c r="B530" s="2" t="s">
        <v>93</v>
      </c>
      <c r="C530" s="15">
        <v>9</v>
      </c>
      <c r="D530" s="4">
        <v>40000</v>
      </c>
      <c r="E530" s="4">
        <f>+C530*D530</f>
        <v>360000</v>
      </c>
      <c r="F530" s="2"/>
    </row>
    <row r="531" spans="1:6" ht="15.75" x14ac:dyDescent="0.25">
      <c r="A531" s="2"/>
      <c r="B531" s="2" t="s">
        <v>132</v>
      </c>
      <c r="C531" s="15">
        <v>11</v>
      </c>
      <c r="D531" s="4">
        <v>40000</v>
      </c>
      <c r="E531" s="4">
        <f>+C531*D531</f>
        <v>440000</v>
      </c>
      <c r="F531" s="2"/>
    </row>
    <row r="532" spans="1:6" ht="15.75" x14ac:dyDescent="0.25">
      <c r="A532" s="2"/>
      <c r="B532" s="2"/>
      <c r="C532" s="15">
        <f>SUM(C529:C531)</f>
        <v>26</v>
      </c>
      <c r="D532" s="4"/>
      <c r="E532" s="4">
        <f t="shared" si="8"/>
        <v>0</v>
      </c>
      <c r="F532" s="2"/>
    </row>
    <row r="533" spans="1:6" ht="15.75" x14ac:dyDescent="0.25">
      <c r="A533" s="2"/>
      <c r="B533" s="2"/>
      <c r="C533" s="15"/>
      <c r="D533" s="4"/>
      <c r="E533" s="4"/>
      <c r="F533" s="2"/>
    </row>
    <row r="534" spans="1:6" ht="31.5" x14ac:dyDescent="0.5">
      <c r="A534" s="1"/>
      <c r="B534" s="20" t="s">
        <v>493</v>
      </c>
      <c r="C534" s="5"/>
      <c r="D534" s="19"/>
      <c r="E534" s="19">
        <f t="shared" si="8"/>
        <v>0</v>
      </c>
      <c r="F534" s="1"/>
    </row>
    <row r="535" spans="1:6" ht="15.75" x14ac:dyDescent="0.25">
      <c r="A535" s="2"/>
      <c r="B535" s="2" t="s">
        <v>494</v>
      </c>
      <c r="C535" s="15">
        <v>110</v>
      </c>
      <c r="D535" s="4">
        <v>20000</v>
      </c>
      <c r="E535" s="4">
        <f t="shared" si="8"/>
        <v>2200000</v>
      </c>
      <c r="F535" s="2"/>
    </row>
    <row r="536" spans="1:6" ht="15.75" x14ac:dyDescent="0.25">
      <c r="A536" s="2"/>
      <c r="B536" s="2" t="s">
        <v>495</v>
      </c>
      <c r="C536" s="15">
        <v>30</v>
      </c>
      <c r="D536" s="4">
        <v>20000</v>
      </c>
      <c r="E536" s="4">
        <f>+C536*D536</f>
        <v>600000</v>
      </c>
      <c r="F536" s="2"/>
    </row>
    <row r="537" spans="1:6" ht="15.75" x14ac:dyDescent="0.25">
      <c r="A537" s="2"/>
      <c r="B537" s="2" t="s">
        <v>496</v>
      </c>
      <c r="C537" s="15">
        <v>65</v>
      </c>
      <c r="D537" s="4">
        <v>73000</v>
      </c>
      <c r="E537" s="4">
        <f t="shared" si="8"/>
        <v>4745000</v>
      </c>
      <c r="F537" s="2" t="s">
        <v>497</v>
      </c>
    </row>
    <row r="538" spans="1:6" ht="15.75" x14ac:dyDescent="0.25">
      <c r="A538" s="2"/>
      <c r="B538" s="2" t="s">
        <v>498</v>
      </c>
      <c r="C538" s="15">
        <v>10</v>
      </c>
      <c r="D538" s="4">
        <v>73000</v>
      </c>
      <c r="E538" s="4">
        <f t="shared" si="8"/>
        <v>730000</v>
      </c>
      <c r="F538" s="2"/>
    </row>
    <row r="539" spans="1:6" ht="15.75" x14ac:dyDescent="0.25">
      <c r="A539" s="2"/>
      <c r="B539" s="2" t="s">
        <v>499</v>
      </c>
      <c r="C539" s="15">
        <v>0</v>
      </c>
      <c r="D539" s="4">
        <v>73000</v>
      </c>
      <c r="E539" s="4">
        <f t="shared" si="8"/>
        <v>0</v>
      </c>
      <c r="F539" s="2"/>
    </row>
    <row r="540" spans="1:6" ht="15.75" x14ac:dyDescent="0.25">
      <c r="A540" s="2"/>
      <c r="B540" s="2" t="s">
        <v>500</v>
      </c>
      <c r="C540" s="15">
        <v>0</v>
      </c>
      <c r="D540" s="4">
        <v>92000</v>
      </c>
      <c r="E540" s="4">
        <f t="shared" si="8"/>
        <v>0</v>
      </c>
      <c r="F540" s="2"/>
    </row>
    <row r="541" spans="1:6" ht="15.75" x14ac:dyDescent="0.25">
      <c r="A541" s="2"/>
      <c r="B541" s="2" t="s">
        <v>501</v>
      </c>
      <c r="C541" s="15">
        <v>0</v>
      </c>
      <c r="D541" s="4">
        <v>92000</v>
      </c>
      <c r="E541" s="4">
        <f t="shared" si="8"/>
        <v>0</v>
      </c>
      <c r="F541" s="2"/>
    </row>
    <row r="542" spans="1:6" ht="15.75" x14ac:dyDescent="0.25">
      <c r="A542" s="2"/>
      <c r="B542" s="2" t="s">
        <v>502</v>
      </c>
      <c r="C542" s="15">
        <v>0</v>
      </c>
      <c r="D542" s="4">
        <v>92000</v>
      </c>
      <c r="E542" s="4">
        <f>+C542*D542</f>
        <v>0</v>
      </c>
      <c r="F542" s="2"/>
    </row>
    <row r="543" spans="1:6" ht="15.75" x14ac:dyDescent="0.25">
      <c r="A543" s="2"/>
      <c r="B543" s="2" t="s">
        <v>503</v>
      </c>
      <c r="C543" s="15">
        <v>32</v>
      </c>
      <c r="D543" s="4">
        <v>92000</v>
      </c>
      <c r="E543" s="4">
        <f>+C543*D543</f>
        <v>2944000</v>
      </c>
      <c r="F543" s="2"/>
    </row>
    <row r="544" spans="1:6" ht="15.75" x14ac:dyDescent="0.25">
      <c r="A544" s="2"/>
      <c r="B544" s="2" t="s">
        <v>504</v>
      </c>
      <c r="C544" s="15">
        <v>269</v>
      </c>
      <c r="D544" s="4">
        <v>4450</v>
      </c>
      <c r="E544" s="4">
        <f t="shared" si="8"/>
        <v>1197050</v>
      </c>
      <c r="F544" s="2"/>
    </row>
    <row r="545" spans="1:6" ht="15.75" x14ac:dyDescent="0.25">
      <c r="A545" s="2"/>
      <c r="B545" s="2" t="s">
        <v>505</v>
      </c>
      <c r="C545" s="15">
        <v>147</v>
      </c>
      <c r="D545" s="4">
        <v>6450</v>
      </c>
      <c r="E545" s="4">
        <f t="shared" si="8"/>
        <v>948150</v>
      </c>
      <c r="F545" s="2"/>
    </row>
    <row r="546" spans="1:6" ht="15.75" x14ac:dyDescent="0.25">
      <c r="A546" s="2"/>
      <c r="B546" s="2" t="s">
        <v>506</v>
      </c>
      <c r="C546" s="15">
        <v>117</v>
      </c>
      <c r="D546" s="4">
        <v>6950</v>
      </c>
      <c r="E546" s="4">
        <f t="shared" si="8"/>
        <v>813150</v>
      </c>
      <c r="F546" s="2"/>
    </row>
    <row r="547" spans="1:6" ht="15.75" x14ac:dyDescent="0.25">
      <c r="A547" s="2"/>
      <c r="B547" s="2" t="s">
        <v>507</v>
      </c>
      <c r="C547" s="15">
        <v>79</v>
      </c>
      <c r="D547" s="4">
        <v>7450</v>
      </c>
      <c r="E547" s="4">
        <f t="shared" si="8"/>
        <v>588550</v>
      </c>
      <c r="F547" s="2"/>
    </row>
    <row r="548" spans="1:6" ht="15.75" x14ac:dyDescent="0.25">
      <c r="A548" s="2"/>
      <c r="B548" s="2" t="s">
        <v>508</v>
      </c>
      <c r="C548" s="15">
        <v>512</v>
      </c>
      <c r="D548" s="4"/>
      <c r="E548" s="4">
        <f t="shared" si="8"/>
        <v>0</v>
      </c>
      <c r="F548" s="2"/>
    </row>
    <row r="549" spans="1:6" ht="15.75" x14ac:dyDescent="0.25">
      <c r="A549" s="2"/>
      <c r="B549" s="2" t="s">
        <v>509</v>
      </c>
      <c r="C549" s="15">
        <v>249</v>
      </c>
      <c r="D549" s="4"/>
      <c r="E549" s="4">
        <f t="shared" si="8"/>
        <v>0</v>
      </c>
      <c r="F549" s="2"/>
    </row>
    <row r="550" spans="1:6" ht="15.75" x14ac:dyDescent="0.25">
      <c r="A550" s="2"/>
      <c r="B550" s="2"/>
      <c r="C550" s="15"/>
      <c r="D550" s="4"/>
      <c r="E550" s="4">
        <f t="shared" si="8"/>
        <v>0</v>
      </c>
      <c r="F550" s="2"/>
    </row>
    <row r="551" spans="1:6" ht="31.5" x14ac:dyDescent="0.5">
      <c r="A551" s="1"/>
      <c r="B551" s="20" t="s">
        <v>510</v>
      </c>
      <c r="C551" s="5"/>
      <c r="D551" s="19"/>
      <c r="E551" s="19">
        <f t="shared" si="8"/>
        <v>0</v>
      </c>
      <c r="F551" s="1"/>
    </row>
    <row r="552" spans="1:6" ht="15.75" x14ac:dyDescent="0.25">
      <c r="A552" s="2"/>
      <c r="B552" s="2" t="s">
        <v>511</v>
      </c>
      <c r="C552" s="15">
        <v>0</v>
      </c>
      <c r="D552" s="4">
        <v>12500</v>
      </c>
      <c r="E552" s="4">
        <f t="shared" si="8"/>
        <v>0</v>
      </c>
      <c r="F552" s="2"/>
    </row>
    <row r="553" spans="1:6" ht="15.75" x14ac:dyDescent="0.25">
      <c r="A553" s="2"/>
      <c r="B553" s="2" t="s">
        <v>512</v>
      </c>
      <c r="C553" s="15">
        <v>310</v>
      </c>
      <c r="D553" s="4">
        <v>19000</v>
      </c>
      <c r="E553" s="4">
        <f>+C553*D553</f>
        <v>5890000</v>
      </c>
      <c r="F553" s="2"/>
    </row>
    <row r="554" spans="1:6" ht="15.75" x14ac:dyDescent="0.25">
      <c r="A554" s="2"/>
      <c r="B554" s="2"/>
      <c r="C554" s="15"/>
      <c r="D554" s="4"/>
      <c r="E554" s="4">
        <f t="shared" si="8"/>
        <v>0</v>
      </c>
      <c r="F554" s="2"/>
    </row>
    <row r="555" spans="1:6" ht="31.5" x14ac:dyDescent="0.5">
      <c r="A555" s="1"/>
      <c r="B555" s="20" t="s">
        <v>513</v>
      </c>
      <c r="C555" s="5"/>
      <c r="D555" s="19"/>
      <c r="E555" s="19">
        <f t="shared" si="8"/>
        <v>0</v>
      </c>
      <c r="F555" s="1"/>
    </row>
    <row r="556" spans="1:6" ht="15.75" x14ac:dyDescent="0.25">
      <c r="A556" s="2"/>
      <c r="B556" s="2" t="s">
        <v>514</v>
      </c>
      <c r="C556" s="15">
        <v>0</v>
      </c>
      <c r="D556" s="4">
        <v>172000</v>
      </c>
      <c r="E556" s="4">
        <f t="shared" si="8"/>
        <v>0</v>
      </c>
      <c r="F556" s="2" t="s">
        <v>93</v>
      </c>
    </row>
    <row r="557" spans="1:6" ht="15.75" x14ac:dyDescent="0.25">
      <c r="A557" s="2"/>
      <c r="B557" s="2" t="s">
        <v>515</v>
      </c>
      <c r="C557" s="15">
        <v>0</v>
      </c>
      <c r="D557" s="4">
        <v>197000</v>
      </c>
      <c r="E557" s="4">
        <f t="shared" si="8"/>
        <v>0</v>
      </c>
      <c r="F557" s="2" t="s">
        <v>93</v>
      </c>
    </row>
    <row r="558" spans="1:6" ht="15.75" x14ac:dyDescent="0.25">
      <c r="A558" s="2"/>
      <c r="B558" s="2" t="s">
        <v>516</v>
      </c>
      <c r="C558" s="15">
        <v>0</v>
      </c>
      <c r="D558" s="4">
        <v>180000</v>
      </c>
      <c r="E558" s="4">
        <f t="shared" si="8"/>
        <v>0</v>
      </c>
      <c r="F558" s="2" t="s">
        <v>131</v>
      </c>
    </row>
    <row r="559" spans="1:6" ht="15.75" x14ac:dyDescent="0.25">
      <c r="A559" s="2"/>
      <c r="B559" s="2"/>
      <c r="C559" s="15"/>
      <c r="D559" s="4"/>
      <c r="E559" s="4">
        <f t="shared" si="8"/>
        <v>0</v>
      </c>
      <c r="F559" s="2"/>
    </row>
    <row r="560" spans="1:6" ht="15.75" x14ac:dyDescent="0.25">
      <c r="A560" s="2"/>
      <c r="B560" s="2"/>
      <c r="C560" s="15"/>
      <c r="D560" s="4"/>
      <c r="E560" s="4">
        <f t="shared" si="8"/>
        <v>0</v>
      </c>
      <c r="F560" s="2"/>
    </row>
    <row r="561" spans="1:6" ht="31.5" x14ac:dyDescent="0.5">
      <c r="A561" s="1"/>
      <c r="B561" s="20" t="s">
        <v>517</v>
      </c>
      <c r="C561" s="5"/>
      <c r="D561" s="19"/>
      <c r="E561" s="19">
        <f t="shared" si="8"/>
        <v>0</v>
      </c>
      <c r="F561" s="1"/>
    </row>
    <row r="562" spans="1:6" ht="15.75" x14ac:dyDescent="0.25">
      <c r="A562" s="2"/>
      <c r="B562" s="2" t="s">
        <v>518</v>
      </c>
      <c r="C562" s="15">
        <v>57</v>
      </c>
      <c r="D562" s="4"/>
      <c r="E562" s="4">
        <f t="shared" si="8"/>
        <v>0</v>
      </c>
      <c r="F562" s="2"/>
    </row>
    <row r="563" spans="1:6" ht="15.75" x14ac:dyDescent="0.25">
      <c r="A563" s="2"/>
      <c r="B563" s="2" t="s">
        <v>519</v>
      </c>
      <c r="C563" s="15">
        <v>25</v>
      </c>
      <c r="D563" s="4">
        <v>61500</v>
      </c>
      <c r="E563" s="4"/>
      <c r="F563" s="2"/>
    </row>
    <row r="564" spans="1:6" ht="15.75" x14ac:dyDescent="0.25">
      <c r="A564" s="2"/>
      <c r="B564" s="2"/>
      <c r="C564" s="15"/>
      <c r="D564" s="4"/>
      <c r="E564" s="4"/>
      <c r="F564" s="2"/>
    </row>
    <row r="565" spans="1:6" ht="15.75" x14ac:dyDescent="0.25">
      <c r="A565" s="2"/>
      <c r="B565" s="2"/>
      <c r="C565" s="15"/>
      <c r="D565" s="4"/>
      <c r="E565" s="4"/>
      <c r="F565" s="2"/>
    </row>
    <row r="566" spans="1:6" ht="31.5" x14ac:dyDescent="0.5">
      <c r="A566" s="1"/>
      <c r="B566" s="20" t="s">
        <v>520</v>
      </c>
      <c r="C566" s="5"/>
      <c r="D566" s="19"/>
      <c r="E566" s="19"/>
      <c r="F566" s="1"/>
    </row>
    <row r="567" spans="1:6" ht="15.75" x14ac:dyDescent="0.25">
      <c r="A567" s="2"/>
      <c r="B567" s="2" t="s">
        <v>521</v>
      </c>
      <c r="C567" s="15">
        <v>0</v>
      </c>
      <c r="D567" s="4">
        <v>98000</v>
      </c>
      <c r="E567" s="4">
        <f t="shared" si="8"/>
        <v>0</v>
      </c>
      <c r="F567" s="2" t="s">
        <v>522</v>
      </c>
    </row>
    <row r="568" spans="1:6" ht="15.75" x14ac:dyDescent="0.25">
      <c r="A568" s="2"/>
      <c r="B568" s="2" t="s">
        <v>523</v>
      </c>
      <c r="C568" s="15">
        <v>5</v>
      </c>
      <c r="D568" s="4">
        <v>48000</v>
      </c>
      <c r="E568" s="4">
        <f t="shared" si="8"/>
        <v>240000</v>
      </c>
      <c r="F568" s="2" t="s">
        <v>524</v>
      </c>
    </row>
    <row r="569" spans="1:6" ht="15.75" x14ac:dyDescent="0.25">
      <c r="A569" s="2"/>
      <c r="B569" s="2" t="s">
        <v>525</v>
      </c>
      <c r="C569" s="15">
        <v>40</v>
      </c>
      <c r="D569" s="4">
        <v>78000</v>
      </c>
      <c r="E569" s="4">
        <f t="shared" si="8"/>
        <v>3120000</v>
      </c>
      <c r="F569" s="2" t="s">
        <v>526</v>
      </c>
    </row>
    <row r="570" spans="1:6" ht="15.75" x14ac:dyDescent="0.25">
      <c r="A570" s="2"/>
      <c r="B570" s="2" t="s">
        <v>527</v>
      </c>
      <c r="C570" s="15">
        <v>7</v>
      </c>
      <c r="D570" s="4"/>
      <c r="E570" s="4"/>
      <c r="F570" s="2"/>
    </row>
    <row r="571" spans="1:6" ht="15.75" x14ac:dyDescent="0.25">
      <c r="A571" s="2"/>
      <c r="B571" s="2" t="s">
        <v>528</v>
      </c>
      <c r="C571" s="15">
        <v>0</v>
      </c>
      <c r="D571" s="4">
        <v>150000</v>
      </c>
      <c r="E571" s="4">
        <f t="shared" si="8"/>
        <v>0</v>
      </c>
      <c r="F571" s="2" t="s">
        <v>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B84AF-D1B9-41AC-AC45-1F61CBCFF78C}">
  <dimension ref="A1:E287"/>
  <sheetViews>
    <sheetView tabSelected="1" topLeftCell="A99" workbookViewId="0">
      <selection activeCell="I24" sqref="I23:I24"/>
    </sheetView>
  </sheetViews>
  <sheetFormatPr defaultRowHeight="15" x14ac:dyDescent="0.25"/>
  <cols>
    <col min="1" max="1" width="42.140625" bestFit="1" customWidth="1"/>
    <col min="2" max="2" width="19.140625" bestFit="1" customWidth="1"/>
    <col min="3" max="3" width="22" bestFit="1" customWidth="1"/>
    <col min="4" max="4" width="15.5703125" bestFit="1" customWidth="1"/>
    <col min="5" max="5" width="10.85546875" bestFit="1" customWidth="1"/>
  </cols>
  <sheetData>
    <row r="1" spans="1:5" ht="18.75" x14ac:dyDescent="0.3">
      <c r="A1" s="21"/>
      <c r="B1" s="22"/>
      <c r="C1" s="23"/>
      <c r="D1" s="22"/>
      <c r="E1" s="23"/>
    </row>
    <row r="2" spans="1:5" ht="18.75" x14ac:dyDescent="0.3">
      <c r="A2" s="23"/>
      <c r="B2" s="24" t="s">
        <v>531</v>
      </c>
      <c r="C2" s="24"/>
      <c r="D2" s="24"/>
      <c r="E2" s="24"/>
    </row>
    <row r="3" spans="1:5" ht="18.75" x14ac:dyDescent="0.3">
      <c r="A3" s="25" t="s">
        <v>532</v>
      </c>
      <c r="B3" s="26" t="s">
        <v>533</v>
      </c>
      <c r="C3" s="26" t="s">
        <v>534</v>
      </c>
      <c r="D3" s="22" t="s">
        <v>535</v>
      </c>
      <c r="E3" s="23"/>
    </row>
    <row r="4" spans="1:5" ht="18.75" x14ac:dyDescent="0.3">
      <c r="A4" s="27" t="s">
        <v>263</v>
      </c>
      <c r="B4" s="28">
        <v>44000</v>
      </c>
      <c r="C4" s="22">
        <f>(B4-(20/100*B4))+11/100*(B4-(20/100*B4))</f>
        <v>39072</v>
      </c>
      <c r="D4" s="29">
        <f>+B4+(11%*B4)</f>
        <v>48840</v>
      </c>
      <c r="E4" s="30"/>
    </row>
    <row r="5" spans="1:5" ht="18.75" x14ac:dyDescent="0.3">
      <c r="A5" s="27" t="s">
        <v>265</v>
      </c>
      <c r="B5" s="28">
        <v>87000</v>
      </c>
      <c r="C5" s="22">
        <f t="shared" ref="C5:C87" si="0">(B5-(20/100*B5))+11/100*(B5-(20/100*B5))</f>
        <v>77256</v>
      </c>
      <c r="D5" s="29">
        <f t="shared" ref="D5:D68" si="1">+B5+(11%*B5)</f>
        <v>96570</v>
      </c>
      <c r="E5" s="30"/>
    </row>
    <row r="6" spans="1:5" ht="18.75" x14ac:dyDescent="0.3">
      <c r="A6" s="27" t="s">
        <v>267</v>
      </c>
      <c r="B6" s="28">
        <v>10000</v>
      </c>
      <c r="C6" s="22">
        <f t="shared" si="0"/>
        <v>8880</v>
      </c>
      <c r="D6" s="29">
        <f t="shared" si="1"/>
        <v>11100</v>
      </c>
      <c r="E6" s="30"/>
    </row>
    <row r="7" spans="1:5" ht="18.75" x14ac:dyDescent="0.3">
      <c r="A7" s="27" t="s">
        <v>269</v>
      </c>
      <c r="B7" s="28">
        <v>69000</v>
      </c>
      <c r="C7" s="22">
        <f t="shared" si="0"/>
        <v>61272</v>
      </c>
      <c r="D7" s="29">
        <f t="shared" si="1"/>
        <v>76590</v>
      </c>
      <c r="E7" s="30"/>
    </row>
    <row r="8" spans="1:5" ht="18.75" x14ac:dyDescent="0.3">
      <c r="A8" s="27" t="s">
        <v>271</v>
      </c>
      <c r="B8" s="28">
        <v>45000</v>
      </c>
      <c r="C8" s="22">
        <f t="shared" si="0"/>
        <v>39960</v>
      </c>
      <c r="D8" s="29">
        <f t="shared" si="1"/>
        <v>49950</v>
      </c>
      <c r="E8" s="30"/>
    </row>
    <row r="9" spans="1:5" ht="18.75" x14ac:dyDescent="0.3">
      <c r="A9" s="27" t="s">
        <v>273</v>
      </c>
      <c r="B9" s="28">
        <v>34000</v>
      </c>
      <c r="C9" s="22">
        <f t="shared" si="0"/>
        <v>30192</v>
      </c>
      <c r="D9" s="29">
        <f t="shared" si="1"/>
        <v>37740</v>
      </c>
      <c r="E9" s="30"/>
    </row>
    <row r="10" spans="1:5" ht="18.75" x14ac:dyDescent="0.3">
      <c r="A10" s="27" t="s">
        <v>278</v>
      </c>
      <c r="B10" s="28">
        <v>25000</v>
      </c>
      <c r="C10" s="22">
        <f t="shared" si="0"/>
        <v>22200</v>
      </c>
      <c r="D10" s="29">
        <f t="shared" si="1"/>
        <v>27750</v>
      </c>
      <c r="E10" s="30"/>
    </row>
    <row r="11" spans="1:5" ht="18.75" x14ac:dyDescent="0.3">
      <c r="A11" s="27" t="s">
        <v>536</v>
      </c>
      <c r="B11" s="28">
        <v>190000</v>
      </c>
      <c r="C11" s="22">
        <f t="shared" si="0"/>
        <v>168720</v>
      </c>
      <c r="D11" s="29">
        <f t="shared" si="1"/>
        <v>210900</v>
      </c>
      <c r="E11" s="30"/>
    </row>
    <row r="12" spans="1:5" ht="18.75" x14ac:dyDescent="0.3">
      <c r="A12" s="27" t="s">
        <v>281</v>
      </c>
      <c r="B12" s="28">
        <v>95000</v>
      </c>
      <c r="C12" s="22">
        <f t="shared" si="0"/>
        <v>84360</v>
      </c>
      <c r="D12" s="29">
        <f t="shared" si="1"/>
        <v>105450</v>
      </c>
      <c r="E12" s="30"/>
    </row>
    <row r="13" spans="1:5" ht="18.75" x14ac:dyDescent="0.3">
      <c r="A13" s="27" t="s">
        <v>282</v>
      </c>
      <c r="B13" s="28">
        <v>112000</v>
      </c>
      <c r="C13" s="22">
        <f t="shared" si="0"/>
        <v>99456</v>
      </c>
      <c r="D13" s="29">
        <f t="shared" si="1"/>
        <v>124320</v>
      </c>
      <c r="E13" s="30"/>
    </row>
    <row r="14" spans="1:5" ht="18.75" x14ac:dyDescent="0.3">
      <c r="A14" s="27" t="s">
        <v>283</v>
      </c>
      <c r="B14" s="28">
        <v>73000</v>
      </c>
      <c r="C14" s="22">
        <f t="shared" si="0"/>
        <v>64824</v>
      </c>
      <c r="D14" s="29">
        <f t="shared" si="1"/>
        <v>81030</v>
      </c>
      <c r="E14" s="30"/>
    </row>
    <row r="15" spans="1:5" ht="18.75" x14ac:dyDescent="0.3">
      <c r="A15" s="27" t="s">
        <v>285</v>
      </c>
      <c r="B15" s="28">
        <v>190000</v>
      </c>
      <c r="C15" s="22">
        <f t="shared" si="0"/>
        <v>168720</v>
      </c>
      <c r="D15" s="29">
        <f t="shared" si="1"/>
        <v>210900</v>
      </c>
      <c r="E15" s="30"/>
    </row>
    <row r="16" spans="1:5" ht="18.75" x14ac:dyDescent="0.3">
      <c r="A16" s="27" t="s">
        <v>286</v>
      </c>
      <c r="B16" s="28">
        <v>220000</v>
      </c>
      <c r="C16" s="22">
        <f t="shared" si="0"/>
        <v>195360</v>
      </c>
      <c r="D16" s="29">
        <f t="shared" si="1"/>
        <v>244200</v>
      </c>
      <c r="E16" s="30"/>
    </row>
    <row r="17" spans="1:5" ht="18.75" x14ac:dyDescent="0.3">
      <c r="A17" s="27" t="s">
        <v>537</v>
      </c>
      <c r="B17" s="28">
        <v>146000</v>
      </c>
      <c r="C17" s="22">
        <f t="shared" si="0"/>
        <v>129648</v>
      </c>
      <c r="D17" s="29">
        <f t="shared" si="1"/>
        <v>162060</v>
      </c>
      <c r="E17" s="30"/>
    </row>
    <row r="18" spans="1:5" ht="18.75" x14ac:dyDescent="0.3">
      <c r="A18" s="27" t="s">
        <v>312</v>
      </c>
      <c r="B18" s="28">
        <v>43000</v>
      </c>
      <c r="C18" s="22">
        <f t="shared" si="0"/>
        <v>38184</v>
      </c>
      <c r="D18" s="29">
        <f t="shared" si="1"/>
        <v>47730</v>
      </c>
      <c r="E18" s="30"/>
    </row>
    <row r="19" spans="1:5" ht="18.75" x14ac:dyDescent="0.3">
      <c r="A19" s="27" t="s">
        <v>288</v>
      </c>
      <c r="B19" s="28">
        <v>57000</v>
      </c>
      <c r="C19" s="22">
        <f t="shared" si="0"/>
        <v>50616</v>
      </c>
      <c r="D19" s="29">
        <f t="shared" si="1"/>
        <v>63270</v>
      </c>
      <c r="E19" s="30"/>
    </row>
    <row r="20" spans="1:5" ht="18.75" x14ac:dyDescent="0.3">
      <c r="A20" s="27" t="s">
        <v>290</v>
      </c>
      <c r="B20" s="28">
        <v>78000</v>
      </c>
      <c r="C20" s="22">
        <f t="shared" si="0"/>
        <v>69264</v>
      </c>
      <c r="D20" s="29">
        <f t="shared" si="1"/>
        <v>86580</v>
      </c>
      <c r="E20" s="30"/>
    </row>
    <row r="21" spans="1:5" ht="18.75" x14ac:dyDescent="0.3">
      <c r="A21" s="27" t="s">
        <v>292</v>
      </c>
      <c r="B21" s="28">
        <v>74000</v>
      </c>
      <c r="C21" s="22">
        <f t="shared" si="0"/>
        <v>65712</v>
      </c>
      <c r="D21" s="29">
        <f t="shared" si="1"/>
        <v>82140</v>
      </c>
      <c r="E21" s="30"/>
    </row>
    <row r="22" spans="1:5" ht="18.75" x14ac:dyDescent="0.3">
      <c r="A22" s="27" t="s">
        <v>294</v>
      </c>
      <c r="B22" s="28">
        <v>89000</v>
      </c>
      <c r="C22" s="22">
        <f t="shared" si="0"/>
        <v>79032</v>
      </c>
      <c r="D22" s="29">
        <f t="shared" si="1"/>
        <v>98790</v>
      </c>
      <c r="E22" s="30"/>
    </row>
    <row r="23" spans="1:5" ht="18.75" x14ac:dyDescent="0.3">
      <c r="A23" s="27" t="s">
        <v>296</v>
      </c>
      <c r="B23" s="28">
        <v>95000</v>
      </c>
      <c r="C23" s="22">
        <f t="shared" si="0"/>
        <v>84360</v>
      </c>
      <c r="D23" s="29">
        <f t="shared" si="1"/>
        <v>105450</v>
      </c>
      <c r="E23" s="30"/>
    </row>
    <row r="24" spans="1:5" ht="18.75" x14ac:dyDescent="0.3">
      <c r="A24" s="27" t="s">
        <v>298</v>
      </c>
      <c r="B24" s="28">
        <v>92000</v>
      </c>
      <c r="C24" s="22">
        <f t="shared" si="0"/>
        <v>81696</v>
      </c>
      <c r="D24" s="29">
        <f t="shared" si="1"/>
        <v>102120</v>
      </c>
      <c r="E24" s="30"/>
    </row>
    <row r="25" spans="1:5" ht="18.75" x14ac:dyDescent="0.3">
      <c r="A25" s="27" t="s">
        <v>300</v>
      </c>
      <c r="B25" s="28">
        <v>99000</v>
      </c>
      <c r="C25" s="22">
        <f t="shared" si="0"/>
        <v>87912</v>
      </c>
      <c r="D25" s="29">
        <f t="shared" si="1"/>
        <v>109890</v>
      </c>
      <c r="E25" s="30"/>
    </row>
    <row r="26" spans="1:5" ht="18.75" x14ac:dyDescent="0.3">
      <c r="A26" s="27" t="s">
        <v>302</v>
      </c>
      <c r="B26" s="28">
        <v>104000</v>
      </c>
      <c r="C26" s="22">
        <f t="shared" si="0"/>
        <v>92352</v>
      </c>
      <c r="D26" s="29">
        <f t="shared" si="1"/>
        <v>115440</v>
      </c>
      <c r="E26" s="30"/>
    </row>
    <row r="27" spans="1:5" ht="18.75" x14ac:dyDescent="0.3">
      <c r="A27" s="27" t="s">
        <v>304</v>
      </c>
      <c r="B27" s="28">
        <v>95000</v>
      </c>
      <c r="C27" s="22">
        <f t="shared" si="0"/>
        <v>84360</v>
      </c>
      <c r="D27" s="29">
        <f t="shared" si="1"/>
        <v>105450</v>
      </c>
      <c r="E27" s="30"/>
    </row>
    <row r="28" spans="1:5" ht="18.75" x14ac:dyDescent="0.3">
      <c r="A28" s="27" t="s">
        <v>306</v>
      </c>
      <c r="B28" s="28">
        <v>104000</v>
      </c>
      <c r="C28" s="22">
        <f t="shared" si="0"/>
        <v>92352</v>
      </c>
      <c r="D28" s="29">
        <f t="shared" si="1"/>
        <v>115440</v>
      </c>
      <c r="E28" s="30"/>
    </row>
    <row r="29" spans="1:5" ht="18.75" x14ac:dyDescent="0.3">
      <c r="A29" s="27" t="s">
        <v>308</v>
      </c>
      <c r="B29" s="28">
        <v>96000</v>
      </c>
      <c r="C29" s="22">
        <f t="shared" si="0"/>
        <v>85248</v>
      </c>
      <c r="D29" s="29">
        <f t="shared" si="1"/>
        <v>106560</v>
      </c>
      <c r="E29" s="30"/>
    </row>
    <row r="30" spans="1:5" ht="18.75" x14ac:dyDescent="0.3">
      <c r="A30" s="27" t="s">
        <v>310</v>
      </c>
      <c r="B30" s="28">
        <v>141000</v>
      </c>
      <c r="C30" s="22">
        <f t="shared" si="0"/>
        <v>125208</v>
      </c>
      <c r="D30" s="29">
        <f t="shared" si="1"/>
        <v>156510</v>
      </c>
      <c r="E30" s="30"/>
    </row>
    <row r="31" spans="1:5" ht="18.75" x14ac:dyDescent="0.3">
      <c r="A31" s="27" t="s">
        <v>311</v>
      </c>
      <c r="B31" s="28">
        <v>165000</v>
      </c>
      <c r="C31" s="22">
        <f t="shared" si="0"/>
        <v>146520</v>
      </c>
      <c r="D31" s="29">
        <f t="shared" si="1"/>
        <v>183150</v>
      </c>
      <c r="E31" s="30"/>
    </row>
    <row r="32" spans="1:5" ht="18.75" x14ac:dyDescent="0.3">
      <c r="A32" s="23" t="s">
        <v>538</v>
      </c>
      <c r="B32" s="28">
        <v>137000</v>
      </c>
      <c r="C32" s="22">
        <f t="shared" si="0"/>
        <v>121656</v>
      </c>
      <c r="D32" s="29">
        <f t="shared" si="1"/>
        <v>152070</v>
      </c>
      <c r="E32" s="30"/>
    </row>
    <row r="33" spans="1:5" ht="18.75" x14ac:dyDescent="0.3">
      <c r="A33" s="27" t="s">
        <v>313</v>
      </c>
      <c r="B33" s="28">
        <v>103000</v>
      </c>
      <c r="C33" s="22">
        <f t="shared" si="0"/>
        <v>91464</v>
      </c>
      <c r="D33" s="29">
        <f t="shared" si="1"/>
        <v>114330</v>
      </c>
      <c r="E33" s="30"/>
    </row>
    <row r="34" spans="1:5" ht="18.75" x14ac:dyDescent="0.3">
      <c r="A34" s="27" t="s">
        <v>314</v>
      </c>
      <c r="B34" s="28">
        <v>123000</v>
      </c>
      <c r="C34" s="22">
        <f t="shared" si="0"/>
        <v>109224</v>
      </c>
      <c r="D34" s="29">
        <f t="shared" si="1"/>
        <v>136530</v>
      </c>
      <c r="E34" s="30"/>
    </row>
    <row r="35" spans="1:5" ht="18.75" x14ac:dyDescent="0.3">
      <c r="A35" s="27" t="s">
        <v>316</v>
      </c>
      <c r="B35" s="28">
        <v>101000</v>
      </c>
      <c r="C35" s="22">
        <f t="shared" si="0"/>
        <v>89688</v>
      </c>
      <c r="D35" s="29">
        <f t="shared" si="1"/>
        <v>112110</v>
      </c>
      <c r="E35" s="30"/>
    </row>
    <row r="36" spans="1:5" ht="18.75" x14ac:dyDescent="0.3">
      <c r="A36" s="23" t="s">
        <v>318</v>
      </c>
      <c r="B36" s="28">
        <v>52000</v>
      </c>
      <c r="C36" s="22">
        <f t="shared" si="0"/>
        <v>46176</v>
      </c>
      <c r="D36" s="29">
        <f t="shared" si="1"/>
        <v>57720</v>
      </c>
      <c r="E36" s="30"/>
    </row>
    <row r="37" spans="1:5" ht="18.75" x14ac:dyDescent="0.3">
      <c r="A37" s="23" t="s">
        <v>539</v>
      </c>
      <c r="B37" s="28">
        <v>121000</v>
      </c>
      <c r="C37" s="22">
        <f t="shared" si="0"/>
        <v>107448</v>
      </c>
      <c r="D37" s="29">
        <f t="shared" si="1"/>
        <v>134310</v>
      </c>
      <c r="E37" s="30"/>
    </row>
    <row r="38" spans="1:5" ht="18.75" x14ac:dyDescent="0.3">
      <c r="A38" s="27" t="s">
        <v>319</v>
      </c>
      <c r="B38" s="28">
        <v>104000</v>
      </c>
      <c r="C38" s="22">
        <f t="shared" si="0"/>
        <v>92352</v>
      </c>
      <c r="D38" s="29">
        <f t="shared" si="1"/>
        <v>115440</v>
      </c>
      <c r="E38" s="30"/>
    </row>
    <row r="39" spans="1:5" ht="18.75" x14ac:dyDescent="0.3">
      <c r="A39" s="27" t="s">
        <v>321</v>
      </c>
      <c r="B39" s="28">
        <v>134000</v>
      </c>
      <c r="C39" s="22">
        <f t="shared" si="0"/>
        <v>118992</v>
      </c>
      <c r="D39" s="29">
        <f t="shared" si="1"/>
        <v>148740</v>
      </c>
      <c r="E39" s="30"/>
    </row>
    <row r="40" spans="1:5" ht="18.75" x14ac:dyDescent="0.3">
      <c r="A40" s="27" t="s">
        <v>540</v>
      </c>
      <c r="B40" s="28">
        <v>109000</v>
      </c>
      <c r="C40" s="22">
        <f t="shared" si="0"/>
        <v>96792</v>
      </c>
      <c r="D40" s="29">
        <f t="shared" si="1"/>
        <v>120990</v>
      </c>
      <c r="E40" s="30"/>
    </row>
    <row r="41" spans="1:5" ht="18.75" x14ac:dyDescent="0.3">
      <c r="A41" s="27" t="s">
        <v>323</v>
      </c>
      <c r="B41" s="28">
        <v>83000</v>
      </c>
      <c r="C41" s="22">
        <f t="shared" si="0"/>
        <v>73704</v>
      </c>
      <c r="D41" s="29">
        <f t="shared" si="1"/>
        <v>92130</v>
      </c>
      <c r="E41" s="30"/>
    </row>
    <row r="42" spans="1:5" ht="18.75" x14ac:dyDescent="0.3">
      <c r="A42" s="27" t="s">
        <v>325</v>
      </c>
      <c r="B42" s="28">
        <v>44000</v>
      </c>
      <c r="C42" s="22">
        <f t="shared" si="0"/>
        <v>39072</v>
      </c>
      <c r="D42" s="29">
        <f t="shared" si="1"/>
        <v>48840</v>
      </c>
      <c r="E42" s="30"/>
    </row>
    <row r="43" spans="1:5" ht="18.75" x14ac:dyDescent="0.3">
      <c r="A43" s="27" t="s">
        <v>326</v>
      </c>
      <c r="B43" s="28">
        <v>82000</v>
      </c>
      <c r="C43" s="22">
        <f t="shared" si="0"/>
        <v>72816</v>
      </c>
      <c r="D43" s="29">
        <f t="shared" si="1"/>
        <v>91020</v>
      </c>
      <c r="E43" s="30"/>
    </row>
    <row r="44" spans="1:5" ht="18.75" x14ac:dyDescent="0.3">
      <c r="A44" s="27" t="s">
        <v>328</v>
      </c>
      <c r="B44" s="28">
        <v>93000</v>
      </c>
      <c r="C44" s="22">
        <f t="shared" si="0"/>
        <v>82584</v>
      </c>
      <c r="D44" s="29">
        <f t="shared" si="1"/>
        <v>103230</v>
      </c>
      <c r="E44" s="30"/>
    </row>
    <row r="45" spans="1:5" ht="18.75" x14ac:dyDescent="0.3">
      <c r="A45" s="23" t="s">
        <v>541</v>
      </c>
      <c r="B45" s="28">
        <v>48000</v>
      </c>
      <c r="C45" s="22">
        <f t="shared" si="0"/>
        <v>42624</v>
      </c>
      <c r="D45" s="29">
        <f t="shared" si="1"/>
        <v>53280</v>
      </c>
      <c r="E45" s="30"/>
    </row>
    <row r="46" spans="1:5" ht="18.75" x14ac:dyDescent="0.3">
      <c r="A46" s="23" t="s">
        <v>542</v>
      </c>
      <c r="B46" s="28">
        <v>141000</v>
      </c>
      <c r="C46" s="22">
        <f t="shared" si="0"/>
        <v>125208</v>
      </c>
      <c r="D46" s="29">
        <f t="shared" si="1"/>
        <v>156510</v>
      </c>
      <c r="E46" s="30"/>
    </row>
    <row r="47" spans="1:5" ht="18.75" x14ac:dyDescent="0.3">
      <c r="A47" s="27" t="s">
        <v>332</v>
      </c>
      <c r="B47" s="28">
        <v>77000</v>
      </c>
      <c r="C47" s="22">
        <f t="shared" si="0"/>
        <v>68376</v>
      </c>
      <c r="D47" s="29">
        <f t="shared" si="1"/>
        <v>85470</v>
      </c>
      <c r="E47" s="30"/>
    </row>
    <row r="48" spans="1:5" ht="18.75" x14ac:dyDescent="0.3">
      <c r="A48" s="27" t="s">
        <v>336</v>
      </c>
      <c r="B48" s="28">
        <v>97000</v>
      </c>
      <c r="C48" s="22">
        <f t="shared" si="0"/>
        <v>86136</v>
      </c>
      <c r="D48" s="29">
        <f t="shared" si="1"/>
        <v>107670</v>
      </c>
      <c r="E48" s="30"/>
    </row>
    <row r="49" spans="1:5" ht="18.75" x14ac:dyDescent="0.3">
      <c r="A49" s="23" t="s">
        <v>543</v>
      </c>
      <c r="B49" s="28">
        <v>112000</v>
      </c>
      <c r="C49" s="22">
        <f t="shared" si="0"/>
        <v>99456</v>
      </c>
      <c r="D49" s="29">
        <f t="shared" si="1"/>
        <v>124320</v>
      </c>
      <c r="E49" s="30"/>
    </row>
    <row r="50" spans="1:5" ht="18.75" x14ac:dyDescent="0.3">
      <c r="A50" s="23" t="s">
        <v>342</v>
      </c>
      <c r="B50" s="28">
        <v>142000</v>
      </c>
      <c r="C50" s="22">
        <f t="shared" si="0"/>
        <v>126096</v>
      </c>
      <c r="D50" s="29">
        <f t="shared" si="1"/>
        <v>157620</v>
      </c>
      <c r="E50" s="30"/>
    </row>
    <row r="51" spans="1:5" ht="18.75" x14ac:dyDescent="0.3">
      <c r="A51" s="23" t="s">
        <v>544</v>
      </c>
      <c r="B51" s="28">
        <v>154000</v>
      </c>
      <c r="C51" s="22">
        <f t="shared" si="0"/>
        <v>136752</v>
      </c>
      <c r="D51" s="29">
        <f t="shared" si="1"/>
        <v>170940</v>
      </c>
      <c r="E51" s="30"/>
    </row>
    <row r="52" spans="1:5" ht="18.75" x14ac:dyDescent="0.3">
      <c r="A52" s="27" t="s">
        <v>335</v>
      </c>
      <c r="B52" s="28">
        <v>100000</v>
      </c>
      <c r="C52" s="22">
        <f t="shared" si="0"/>
        <v>88800</v>
      </c>
      <c r="D52" s="29">
        <f t="shared" si="1"/>
        <v>111000</v>
      </c>
      <c r="E52" s="30"/>
    </row>
    <row r="53" spans="1:5" ht="18.75" x14ac:dyDescent="0.3">
      <c r="A53" s="27" t="s">
        <v>338</v>
      </c>
      <c r="B53" s="28">
        <v>112000</v>
      </c>
      <c r="C53" s="22">
        <f t="shared" si="0"/>
        <v>99456</v>
      </c>
      <c r="D53" s="29">
        <f t="shared" si="1"/>
        <v>124320</v>
      </c>
      <c r="E53" s="30"/>
    </row>
    <row r="54" spans="1:5" ht="18.75" x14ac:dyDescent="0.3">
      <c r="A54" s="27" t="s">
        <v>340</v>
      </c>
      <c r="B54" s="28">
        <v>145000</v>
      </c>
      <c r="C54" s="22">
        <f t="shared" si="0"/>
        <v>128760</v>
      </c>
      <c r="D54" s="29">
        <f t="shared" si="1"/>
        <v>160950</v>
      </c>
      <c r="E54" s="30"/>
    </row>
    <row r="55" spans="1:5" ht="18.75" x14ac:dyDescent="0.3">
      <c r="A55" s="27" t="s">
        <v>343</v>
      </c>
      <c r="B55" s="28">
        <v>156000</v>
      </c>
      <c r="C55" s="22">
        <f t="shared" si="0"/>
        <v>138528</v>
      </c>
      <c r="D55" s="29">
        <f t="shared" si="1"/>
        <v>173160</v>
      </c>
      <c r="E55" s="30"/>
    </row>
    <row r="56" spans="1:5" ht="18.75" x14ac:dyDescent="0.3">
      <c r="A56" s="27" t="s">
        <v>344</v>
      </c>
      <c r="B56" s="28">
        <v>173000</v>
      </c>
      <c r="C56" s="22">
        <f t="shared" si="0"/>
        <v>153624</v>
      </c>
      <c r="D56" s="29">
        <f t="shared" si="1"/>
        <v>192030</v>
      </c>
      <c r="E56" s="30"/>
    </row>
    <row r="57" spans="1:5" ht="18.75" x14ac:dyDescent="0.3">
      <c r="A57" s="27" t="s">
        <v>276</v>
      </c>
      <c r="B57" s="28">
        <v>58000</v>
      </c>
      <c r="C57" s="22">
        <f t="shared" si="0"/>
        <v>51504</v>
      </c>
      <c r="D57" s="29">
        <f t="shared" si="1"/>
        <v>64380</v>
      </c>
      <c r="E57" s="30"/>
    </row>
    <row r="58" spans="1:5" ht="18.75" x14ac:dyDescent="0.3">
      <c r="A58" s="27" t="s">
        <v>545</v>
      </c>
      <c r="B58" s="28">
        <v>57000</v>
      </c>
      <c r="C58" s="22">
        <f t="shared" si="0"/>
        <v>50616</v>
      </c>
      <c r="D58" s="29">
        <f t="shared" si="1"/>
        <v>63270</v>
      </c>
      <c r="E58" s="30"/>
    </row>
    <row r="59" spans="1:5" ht="18.75" x14ac:dyDescent="0.3">
      <c r="A59" s="27" t="s">
        <v>546</v>
      </c>
      <c r="B59" s="28">
        <v>102000</v>
      </c>
      <c r="C59" s="22">
        <f t="shared" si="0"/>
        <v>90576</v>
      </c>
      <c r="D59" s="29">
        <f t="shared" si="1"/>
        <v>113220</v>
      </c>
      <c r="E59" s="30"/>
    </row>
    <row r="60" spans="1:5" ht="18.75" x14ac:dyDescent="0.3">
      <c r="A60" s="27" t="s">
        <v>350</v>
      </c>
      <c r="B60" s="28">
        <v>144000</v>
      </c>
      <c r="C60" s="22">
        <f t="shared" si="0"/>
        <v>127872</v>
      </c>
      <c r="D60" s="29">
        <f t="shared" si="1"/>
        <v>159840</v>
      </c>
      <c r="E60" s="30"/>
    </row>
    <row r="61" spans="1:5" ht="18.75" x14ac:dyDescent="0.3">
      <c r="A61" s="27" t="s">
        <v>351</v>
      </c>
      <c r="B61" s="28">
        <v>48000</v>
      </c>
      <c r="C61" s="22">
        <f t="shared" si="0"/>
        <v>42624</v>
      </c>
      <c r="D61" s="29">
        <f t="shared" si="1"/>
        <v>53280</v>
      </c>
      <c r="E61" s="30"/>
    </row>
    <row r="62" spans="1:5" ht="18.75" x14ac:dyDescent="0.3">
      <c r="A62" s="27" t="s">
        <v>353</v>
      </c>
      <c r="B62" s="28">
        <v>89000</v>
      </c>
      <c r="C62" s="22">
        <f t="shared" si="0"/>
        <v>79032</v>
      </c>
      <c r="D62" s="29">
        <f t="shared" si="1"/>
        <v>98790</v>
      </c>
      <c r="E62" s="30"/>
    </row>
    <row r="63" spans="1:5" ht="18.75" x14ac:dyDescent="0.3">
      <c r="A63" s="27" t="s">
        <v>355</v>
      </c>
      <c r="B63" s="28">
        <v>55000</v>
      </c>
      <c r="C63" s="22">
        <f t="shared" si="0"/>
        <v>48840</v>
      </c>
      <c r="D63" s="29">
        <f t="shared" si="1"/>
        <v>61050</v>
      </c>
      <c r="E63" s="30"/>
    </row>
    <row r="64" spans="1:5" ht="18.75" x14ac:dyDescent="0.3">
      <c r="A64" s="27" t="s">
        <v>547</v>
      </c>
      <c r="B64" s="28">
        <v>148000</v>
      </c>
      <c r="C64" s="22">
        <f t="shared" si="0"/>
        <v>131424</v>
      </c>
      <c r="D64" s="29">
        <f t="shared" si="1"/>
        <v>164280</v>
      </c>
      <c r="E64" s="30"/>
    </row>
    <row r="65" spans="1:5" ht="18.75" x14ac:dyDescent="0.3">
      <c r="A65" s="27" t="s">
        <v>548</v>
      </c>
      <c r="B65" s="28">
        <v>103000</v>
      </c>
      <c r="C65" s="22">
        <f t="shared" si="0"/>
        <v>91464</v>
      </c>
      <c r="D65" s="29">
        <f t="shared" si="1"/>
        <v>114330</v>
      </c>
      <c r="E65" s="30"/>
    </row>
    <row r="66" spans="1:5" ht="18.75" x14ac:dyDescent="0.3">
      <c r="A66" s="27" t="s">
        <v>359</v>
      </c>
      <c r="B66" s="28">
        <v>179000</v>
      </c>
      <c r="C66" s="22">
        <f t="shared" si="0"/>
        <v>158952</v>
      </c>
      <c r="D66" s="29">
        <f t="shared" si="1"/>
        <v>198690</v>
      </c>
      <c r="E66" s="30"/>
    </row>
    <row r="67" spans="1:5" ht="18.75" x14ac:dyDescent="0.3">
      <c r="A67" s="27" t="s">
        <v>549</v>
      </c>
      <c r="B67" s="28">
        <v>142000</v>
      </c>
      <c r="C67" s="22">
        <f t="shared" si="0"/>
        <v>126096</v>
      </c>
      <c r="D67" s="29">
        <f t="shared" si="1"/>
        <v>157620</v>
      </c>
      <c r="E67" s="30"/>
    </row>
    <row r="68" spans="1:5" ht="18.75" x14ac:dyDescent="0.3">
      <c r="A68" s="27" t="s">
        <v>550</v>
      </c>
      <c r="B68" s="28">
        <v>115000</v>
      </c>
      <c r="C68" s="22">
        <f t="shared" si="0"/>
        <v>102120</v>
      </c>
      <c r="D68" s="29">
        <f t="shared" si="1"/>
        <v>127650</v>
      </c>
      <c r="E68" s="30"/>
    </row>
    <row r="69" spans="1:5" ht="18.75" x14ac:dyDescent="0.3">
      <c r="A69" s="27" t="s">
        <v>361</v>
      </c>
      <c r="B69" s="28">
        <v>64000</v>
      </c>
      <c r="C69" s="22">
        <f t="shared" si="0"/>
        <v>56832</v>
      </c>
      <c r="D69" s="29">
        <f t="shared" ref="D69:D132" si="2">+B69+(11%*B69)</f>
        <v>71040</v>
      </c>
      <c r="E69" s="30"/>
    </row>
    <row r="70" spans="1:5" ht="18.75" x14ac:dyDescent="0.3">
      <c r="A70" s="27" t="s">
        <v>551</v>
      </c>
      <c r="B70" s="28">
        <v>34000</v>
      </c>
      <c r="C70" s="22">
        <f t="shared" si="0"/>
        <v>30192</v>
      </c>
      <c r="D70" s="29">
        <f t="shared" si="2"/>
        <v>37740</v>
      </c>
      <c r="E70" s="30"/>
    </row>
    <row r="71" spans="1:5" ht="18.75" x14ac:dyDescent="0.3">
      <c r="A71" s="27" t="s">
        <v>364</v>
      </c>
      <c r="B71" s="28">
        <v>113000</v>
      </c>
      <c r="C71" s="22">
        <f t="shared" si="0"/>
        <v>100344</v>
      </c>
      <c r="D71" s="29">
        <f t="shared" si="2"/>
        <v>125430</v>
      </c>
      <c r="E71" s="30"/>
    </row>
    <row r="72" spans="1:5" ht="18.75" x14ac:dyDescent="0.3">
      <c r="A72" s="27" t="s">
        <v>366</v>
      </c>
      <c r="B72" s="28">
        <v>125000</v>
      </c>
      <c r="C72" s="22">
        <f t="shared" si="0"/>
        <v>111000</v>
      </c>
      <c r="D72" s="29">
        <f t="shared" si="2"/>
        <v>138750</v>
      </c>
      <c r="E72" s="30"/>
    </row>
    <row r="73" spans="1:5" ht="18.75" x14ac:dyDescent="0.3">
      <c r="A73" s="27" t="s">
        <v>367</v>
      </c>
      <c r="B73" s="28">
        <v>64000</v>
      </c>
      <c r="C73" s="22">
        <f t="shared" si="0"/>
        <v>56832</v>
      </c>
      <c r="D73" s="29">
        <f t="shared" si="2"/>
        <v>71040</v>
      </c>
      <c r="E73" s="30"/>
    </row>
    <row r="74" spans="1:5" ht="18.75" x14ac:dyDescent="0.3">
      <c r="A74" s="27" t="s">
        <v>369</v>
      </c>
      <c r="B74" s="28">
        <v>78000</v>
      </c>
      <c r="C74" s="22">
        <f t="shared" si="0"/>
        <v>69264</v>
      </c>
      <c r="D74" s="29">
        <f t="shared" si="2"/>
        <v>86580</v>
      </c>
      <c r="E74" s="30"/>
    </row>
    <row r="75" spans="1:5" ht="18.75" x14ac:dyDescent="0.3">
      <c r="A75" s="23" t="s">
        <v>371</v>
      </c>
      <c r="B75" s="28">
        <v>39000</v>
      </c>
      <c r="C75" s="22">
        <f t="shared" si="0"/>
        <v>34632</v>
      </c>
      <c r="D75" s="29">
        <f t="shared" si="2"/>
        <v>43290</v>
      </c>
      <c r="E75" s="30"/>
    </row>
    <row r="76" spans="1:5" ht="18.75" x14ac:dyDescent="0.3">
      <c r="A76" s="23" t="s">
        <v>552</v>
      </c>
      <c r="B76" s="28">
        <v>117000</v>
      </c>
      <c r="C76" s="22">
        <f t="shared" si="0"/>
        <v>103896</v>
      </c>
      <c r="D76" s="29">
        <f t="shared" si="2"/>
        <v>129870</v>
      </c>
      <c r="E76" s="30"/>
    </row>
    <row r="77" spans="1:5" ht="18.75" x14ac:dyDescent="0.3">
      <c r="A77" s="27" t="s">
        <v>372</v>
      </c>
      <c r="B77" s="28">
        <v>87000</v>
      </c>
      <c r="C77" s="22">
        <f t="shared" si="0"/>
        <v>77256</v>
      </c>
      <c r="D77" s="29">
        <f t="shared" si="2"/>
        <v>96570</v>
      </c>
      <c r="E77" s="30"/>
    </row>
    <row r="78" spans="1:5" ht="18.75" x14ac:dyDescent="0.3">
      <c r="A78" s="27" t="s">
        <v>374</v>
      </c>
      <c r="B78" s="28">
        <v>64000</v>
      </c>
      <c r="C78" s="22">
        <f t="shared" si="0"/>
        <v>56832</v>
      </c>
      <c r="D78" s="29">
        <f t="shared" si="2"/>
        <v>71040</v>
      </c>
      <c r="E78" s="30"/>
    </row>
    <row r="79" spans="1:5" ht="18.75" x14ac:dyDescent="0.3">
      <c r="A79" s="23" t="s">
        <v>553</v>
      </c>
      <c r="B79" s="28">
        <v>6500</v>
      </c>
      <c r="C79" s="22">
        <f t="shared" si="0"/>
        <v>5772</v>
      </c>
      <c r="D79" s="29">
        <f t="shared" si="2"/>
        <v>7215</v>
      </c>
      <c r="E79" s="30"/>
    </row>
    <row r="80" spans="1:5" ht="18.75" x14ac:dyDescent="0.3">
      <c r="A80" s="23" t="s">
        <v>376</v>
      </c>
      <c r="B80" s="28">
        <v>68000</v>
      </c>
      <c r="C80" s="22">
        <f t="shared" si="0"/>
        <v>60384</v>
      </c>
      <c r="D80" s="29">
        <f t="shared" si="2"/>
        <v>75480</v>
      </c>
      <c r="E80" s="30"/>
    </row>
    <row r="81" spans="1:5" ht="18.75" x14ac:dyDescent="0.3">
      <c r="A81" s="23" t="s">
        <v>554</v>
      </c>
      <c r="B81" s="28">
        <v>94000</v>
      </c>
      <c r="C81" s="22">
        <f t="shared" si="0"/>
        <v>83472</v>
      </c>
      <c r="D81" s="29">
        <f t="shared" si="2"/>
        <v>104340</v>
      </c>
      <c r="E81" s="30"/>
    </row>
    <row r="82" spans="1:5" ht="18.75" x14ac:dyDescent="0.3">
      <c r="A82" s="27" t="s">
        <v>379</v>
      </c>
      <c r="B82" s="28">
        <v>74000</v>
      </c>
      <c r="C82" s="22">
        <f t="shared" si="0"/>
        <v>65712</v>
      </c>
      <c r="D82" s="29">
        <f t="shared" si="2"/>
        <v>82140</v>
      </c>
      <c r="E82" s="30"/>
    </row>
    <row r="83" spans="1:5" ht="18.75" x14ac:dyDescent="0.3">
      <c r="A83" s="23" t="s">
        <v>555</v>
      </c>
      <c r="B83" s="28">
        <v>119500</v>
      </c>
      <c r="C83" s="22">
        <f t="shared" si="0"/>
        <v>106116</v>
      </c>
      <c r="D83" s="29">
        <f t="shared" si="2"/>
        <v>132645</v>
      </c>
      <c r="E83" s="30"/>
    </row>
    <row r="84" spans="1:5" ht="18.75" x14ac:dyDescent="0.3">
      <c r="A84" s="27" t="s">
        <v>383</v>
      </c>
      <c r="B84" s="28">
        <v>72000</v>
      </c>
      <c r="C84" s="22">
        <f t="shared" si="0"/>
        <v>63936</v>
      </c>
      <c r="D84" s="29">
        <f t="shared" si="2"/>
        <v>79920</v>
      </c>
      <c r="E84" s="30"/>
    </row>
    <row r="85" spans="1:5" ht="18.75" x14ac:dyDescent="0.3">
      <c r="A85" s="27" t="s">
        <v>385</v>
      </c>
      <c r="B85" s="28">
        <v>74000</v>
      </c>
      <c r="C85" s="22">
        <f t="shared" si="0"/>
        <v>65712</v>
      </c>
      <c r="D85" s="29">
        <f t="shared" si="2"/>
        <v>82140</v>
      </c>
      <c r="E85" s="30"/>
    </row>
    <row r="86" spans="1:5" ht="18.75" x14ac:dyDescent="0.3">
      <c r="A86" s="27" t="s">
        <v>387</v>
      </c>
      <c r="B86" s="28">
        <v>36000</v>
      </c>
      <c r="C86" s="22">
        <f t="shared" si="0"/>
        <v>31968</v>
      </c>
      <c r="D86" s="29">
        <f t="shared" si="2"/>
        <v>39960</v>
      </c>
      <c r="E86" s="30"/>
    </row>
    <row r="87" spans="1:5" ht="18.75" x14ac:dyDescent="0.3">
      <c r="A87" s="27" t="s">
        <v>389</v>
      </c>
      <c r="B87" s="28">
        <v>47000</v>
      </c>
      <c r="C87" s="22">
        <f t="shared" si="0"/>
        <v>41736</v>
      </c>
      <c r="D87" s="29">
        <f t="shared" si="2"/>
        <v>52170</v>
      </c>
      <c r="E87" s="30"/>
    </row>
    <row r="88" spans="1:5" ht="18.75" x14ac:dyDescent="0.3">
      <c r="A88" s="27" t="s">
        <v>391</v>
      </c>
      <c r="B88" s="28">
        <v>47000</v>
      </c>
      <c r="C88" s="22">
        <f t="shared" ref="C88:C163" si="3">(B88-(20/100*B88))+11/100*(B88-(20/100*B88))</f>
        <v>41736</v>
      </c>
      <c r="D88" s="29">
        <f t="shared" si="2"/>
        <v>52170</v>
      </c>
      <c r="E88" s="30"/>
    </row>
    <row r="89" spans="1:5" ht="18.75" x14ac:dyDescent="0.3">
      <c r="A89" s="27" t="s">
        <v>393</v>
      </c>
      <c r="B89" s="28">
        <v>47000</v>
      </c>
      <c r="C89" s="22">
        <f t="shared" si="3"/>
        <v>41736</v>
      </c>
      <c r="D89" s="29">
        <f t="shared" si="2"/>
        <v>52170</v>
      </c>
      <c r="E89" s="30"/>
    </row>
    <row r="90" spans="1:5" ht="18.75" x14ac:dyDescent="0.3">
      <c r="A90" s="27" t="s">
        <v>394</v>
      </c>
      <c r="B90" s="28">
        <v>32000</v>
      </c>
      <c r="C90" s="22">
        <f t="shared" si="3"/>
        <v>28416</v>
      </c>
      <c r="D90" s="29">
        <f t="shared" si="2"/>
        <v>35520</v>
      </c>
      <c r="E90" s="30"/>
    </row>
    <row r="91" spans="1:5" ht="18.75" x14ac:dyDescent="0.3">
      <c r="A91" s="27" t="s">
        <v>395</v>
      </c>
      <c r="B91" s="28">
        <v>61000</v>
      </c>
      <c r="C91" s="22">
        <f t="shared" si="3"/>
        <v>54168</v>
      </c>
      <c r="D91" s="29">
        <f t="shared" si="2"/>
        <v>67710</v>
      </c>
      <c r="E91" s="30"/>
    </row>
    <row r="92" spans="1:5" ht="18.75" x14ac:dyDescent="0.3">
      <c r="A92" s="27" t="s">
        <v>397</v>
      </c>
      <c r="B92" s="28">
        <v>139000</v>
      </c>
      <c r="C92" s="22">
        <f t="shared" si="3"/>
        <v>123432</v>
      </c>
      <c r="D92" s="29">
        <f t="shared" si="2"/>
        <v>154290</v>
      </c>
      <c r="E92" s="30"/>
    </row>
    <row r="93" spans="1:5" ht="18.75" x14ac:dyDescent="0.3">
      <c r="A93" s="27" t="s">
        <v>398</v>
      </c>
      <c r="B93" s="28">
        <v>60000</v>
      </c>
      <c r="C93" s="22">
        <f t="shared" si="3"/>
        <v>53280</v>
      </c>
      <c r="D93" s="29">
        <f t="shared" si="2"/>
        <v>66600</v>
      </c>
      <c r="E93" s="30"/>
    </row>
    <row r="94" spans="1:5" ht="18.75" x14ac:dyDescent="0.3">
      <c r="A94" s="27" t="s">
        <v>400</v>
      </c>
      <c r="B94" s="28">
        <v>112000</v>
      </c>
      <c r="C94" s="22">
        <f t="shared" si="3"/>
        <v>99456</v>
      </c>
      <c r="D94" s="29">
        <f t="shared" si="2"/>
        <v>124320</v>
      </c>
      <c r="E94" s="30"/>
    </row>
    <row r="95" spans="1:5" ht="18.75" x14ac:dyDescent="0.3">
      <c r="A95" s="27" t="s">
        <v>401</v>
      </c>
      <c r="B95" s="28">
        <v>128000</v>
      </c>
      <c r="C95" s="22">
        <f t="shared" si="3"/>
        <v>113664</v>
      </c>
      <c r="D95" s="29">
        <f t="shared" si="2"/>
        <v>142080</v>
      </c>
      <c r="E95" s="30"/>
    </row>
    <row r="96" spans="1:5" ht="18.75" x14ac:dyDescent="0.3">
      <c r="A96" s="27" t="s">
        <v>403</v>
      </c>
      <c r="B96" s="28">
        <v>153000</v>
      </c>
      <c r="C96" s="22">
        <f t="shared" si="3"/>
        <v>135864</v>
      </c>
      <c r="D96" s="29">
        <f t="shared" si="2"/>
        <v>169830</v>
      </c>
      <c r="E96" s="30"/>
    </row>
    <row r="97" spans="1:5" ht="18.75" x14ac:dyDescent="0.3">
      <c r="A97" s="27" t="s">
        <v>404</v>
      </c>
      <c r="B97" s="28">
        <v>108000</v>
      </c>
      <c r="C97" s="22">
        <f t="shared" si="3"/>
        <v>95904</v>
      </c>
      <c r="D97" s="29">
        <f t="shared" si="2"/>
        <v>119880</v>
      </c>
      <c r="E97" s="30"/>
    </row>
    <row r="98" spans="1:5" ht="18.75" x14ac:dyDescent="0.3">
      <c r="A98" s="27" t="s">
        <v>405</v>
      </c>
      <c r="B98" s="28">
        <v>137000</v>
      </c>
      <c r="C98" s="22">
        <f t="shared" si="3"/>
        <v>121656</v>
      </c>
      <c r="D98" s="29">
        <f t="shared" si="2"/>
        <v>152070</v>
      </c>
      <c r="E98" s="30"/>
    </row>
    <row r="99" spans="1:5" ht="18.75" x14ac:dyDescent="0.3">
      <c r="A99" s="27" t="s">
        <v>406</v>
      </c>
      <c r="B99" s="28">
        <v>153000</v>
      </c>
      <c r="C99" s="22">
        <f t="shared" si="3"/>
        <v>135864</v>
      </c>
      <c r="D99" s="29">
        <f t="shared" si="2"/>
        <v>169830</v>
      </c>
      <c r="E99" s="30"/>
    </row>
    <row r="100" spans="1:5" ht="18.75" x14ac:dyDescent="0.3">
      <c r="A100" s="27" t="s">
        <v>407</v>
      </c>
      <c r="B100" s="28">
        <v>187000</v>
      </c>
      <c r="C100" s="22">
        <f t="shared" si="3"/>
        <v>166056</v>
      </c>
      <c r="D100" s="29">
        <f t="shared" si="2"/>
        <v>207570</v>
      </c>
      <c r="E100" s="30"/>
    </row>
    <row r="101" spans="1:5" ht="18.75" x14ac:dyDescent="0.3">
      <c r="A101" s="27" t="s">
        <v>409</v>
      </c>
      <c r="B101" s="28">
        <v>115000</v>
      </c>
      <c r="C101" s="22">
        <f t="shared" si="3"/>
        <v>102120</v>
      </c>
      <c r="D101" s="29">
        <f t="shared" si="2"/>
        <v>127650</v>
      </c>
      <c r="E101" s="30"/>
    </row>
    <row r="102" spans="1:5" ht="18.75" x14ac:dyDescent="0.3">
      <c r="A102" s="27" t="s">
        <v>411</v>
      </c>
      <c r="B102" s="28">
        <v>221000</v>
      </c>
      <c r="C102" s="22">
        <f t="shared" si="3"/>
        <v>196248</v>
      </c>
      <c r="D102" s="29">
        <f t="shared" si="2"/>
        <v>245310</v>
      </c>
      <c r="E102" s="30"/>
    </row>
    <row r="103" spans="1:5" ht="18.75" x14ac:dyDescent="0.3">
      <c r="A103" s="27" t="s">
        <v>413</v>
      </c>
      <c r="B103" s="28">
        <v>247000</v>
      </c>
      <c r="C103" s="22">
        <f t="shared" si="3"/>
        <v>219336</v>
      </c>
      <c r="D103" s="29">
        <f t="shared" si="2"/>
        <v>274170</v>
      </c>
      <c r="E103" s="30"/>
    </row>
    <row r="104" spans="1:5" ht="18.75" x14ac:dyDescent="0.3">
      <c r="A104" s="27" t="s">
        <v>415</v>
      </c>
      <c r="B104" s="28">
        <v>276000</v>
      </c>
      <c r="C104" s="22">
        <f t="shared" si="3"/>
        <v>245088</v>
      </c>
      <c r="D104" s="29">
        <f t="shared" si="2"/>
        <v>306360</v>
      </c>
      <c r="E104" s="30"/>
    </row>
    <row r="105" spans="1:5" ht="18.75" x14ac:dyDescent="0.3">
      <c r="A105" s="27" t="s">
        <v>437</v>
      </c>
      <c r="B105" s="28">
        <v>162000</v>
      </c>
      <c r="C105" s="22">
        <f t="shared" si="3"/>
        <v>143856</v>
      </c>
      <c r="D105" s="29">
        <f t="shared" si="2"/>
        <v>179820</v>
      </c>
      <c r="E105" s="30"/>
    </row>
    <row r="106" spans="1:5" ht="18.75" x14ac:dyDescent="0.3">
      <c r="A106" s="27" t="s">
        <v>418</v>
      </c>
      <c r="B106" s="28">
        <v>166000</v>
      </c>
      <c r="C106" s="22">
        <f t="shared" si="3"/>
        <v>147408</v>
      </c>
      <c r="D106" s="29">
        <f t="shared" si="2"/>
        <v>184260</v>
      </c>
      <c r="E106" s="30"/>
    </row>
    <row r="107" spans="1:5" ht="18.75" x14ac:dyDescent="0.3">
      <c r="A107" s="27" t="s">
        <v>419</v>
      </c>
      <c r="B107" s="28">
        <v>326000</v>
      </c>
      <c r="C107" s="22">
        <f t="shared" si="3"/>
        <v>289488</v>
      </c>
      <c r="D107" s="29">
        <f t="shared" si="2"/>
        <v>361860</v>
      </c>
      <c r="E107" s="30"/>
    </row>
    <row r="108" spans="1:5" ht="18.75" x14ac:dyDescent="0.3">
      <c r="A108" s="27" t="s">
        <v>421</v>
      </c>
      <c r="B108" s="28">
        <v>195000</v>
      </c>
      <c r="C108" s="22">
        <f t="shared" si="3"/>
        <v>173160</v>
      </c>
      <c r="D108" s="29">
        <f t="shared" si="2"/>
        <v>216450</v>
      </c>
      <c r="E108" s="30"/>
    </row>
    <row r="109" spans="1:5" ht="18.75" x14ac:dyDescent="0.3">
      <c r="A109" s="27" t="s">
        <v>423</v>
      </c>
      <c r="B109" s="28">
        <v>295000</v>
      </c>
      <c r="C109" s="22">
        <f t="shared" si="3"/>
        <v>261960</v>
      </c>
      <c r="D109" s="29">
        <f t="shared" si="2"/>
        <v>327450</v>
      </c>
      <c r="E109" s="30"/>
    </row>
    <row r="110" spans="1:5" ht="18.75" x14ac:dyDescent="0.3">
      <c r="A110" s="27" t="s">
        <v>425</v>
      </c>
      <c r="B110" s="28">
        <v>155000</v>
      </c>
      <c r="C110" s="22">
        <f t="shared" si="3"/>
        <v>137640</v>
      </c>
      <c r="D110" s="29">
        <f t="shared" si="2"/>
        <v>172050</v>
      </c>
      <c r="E110" s="30"/>
    </row>
    <row r="111" spans="1:5" ht="18.75" x14ac:dyDescent="0.3">
      <c r="A111" s="27" t="s">
        <v>427</v>
      </c>
      <c r="B111" s="28">
        <v>193000</v>
      </c>
      <c r="C111" s="22">
        <f t="shared" si="3"/>
        <v>171384</v>
      </c>
      <c r="D111" s="29">
        <f t="shared" si="2"/>
        <v>214230</v>
      </c>
      <c r="E111" s="30"/>
    </row>
    <row r="112" spans="1:5" ht="18.75" x14ac:dyDescent="0.3">
      <c r="A112" s="27" t="s">
        <v>429</v>
      </c>
      <c r="B112" s="28">
        <v>110000</v>
      </c>
      <c r="C112" s="22">
        <f t="shared" si="3"/>
        <v>97680</v>
      </c>
      <c r="D112" s="29">
        <f t="shared" si="2"/>
        <v>122100</v>
      </c>
      <c r="E112" s="30"/>
    </row>
    <row r="113" spans="1:5" ht="18.75" x14ac:dyDescent="0.3">
      <c r="A113" s="23" t="s">
        <v>556</v>
      </c>
      <c r="B113" s="28">
        <v>61000</v>
      </c>
      <c r="C113" s="22">
        <f t="shared" si="3"/>
        <v>54168</v>
      </c>
      <c r="D113" s="29">
        <f t="shared" si="2"/>
        <v>67710</v>
      </c>
      <c r="E113" s="30"/>
    </row>
    <row r="114" spans="1:5" ht="18.75" x14ac:dyDescent="0.3">
      <c r="A114" s="27" t="s">
        <v>557</v>
      </c>
      <c r="B114" s="28">
        <f>+B112+B113</f>
        <v>171000</v>
      </c>
      <c r="C114" s="22">
        <f>+C112+C113</f>
        <v>151848</v>
      </c>
      <c r="D114" s="29">
        <f t="shared" si="2"/>
        <v>189810</v>
      </c>
      <c r="E114" s="30"/>
    </row>
    <row r="115" spans="1:5" ht="18.75" x14ac:dyDescent="0.3">
      <c r="A115" s="23" t="s">
        <v>558</v>
      </c>
      <c r="B115" s="28">
        <v>279000</v>
      </c>
      <c r="C115" s="22">
        <f t="shared" si="3"/>
        <v>247752</v>
      </c>
      <c r="D115" s="29">
        <f t="shared" si="2"/>
        <v>309690</v>
      </c>
      <c r="E115" s="30"/>
    </row>
    <row r="116" spans="1:5" ht="18.75" x14ac:dyDescent="0.3">
      <c r="A116" s="23" t="s">
        <v>559</v>
      </c>
      <c r="B116" s="28">
        <v>350000</v>
      </c>
      <c r="C116" s="22">
        <f t="shared" si="3"/>
        <v>310800</v>
      </c>
      <c r="D116" s="29">
        <f t="shared" si="2"/>
        <v>388500</v>
      </c>
      <c r="E116" s="30"/>
    </row>
    <row r="117" spans="1:5" ht="18.75" x14ac:dyDescent="0.3">
      <c r="A117" s="27" t="s">
        <v>439</v>
      </c>
      <c r="B117" s="28">
        <v>1030000</v>
      </c>
      <c r="C117" s="22">
        <f t="shared" si="3"/>
        <v>914640</v>
      </c>
      <c r="D117" s="29">
        <f t="shared" si="2"/>
        <v>1143300</v>
      </c>
      <c r="E117" s="30"/>
    </row>
    <row r="118" spans="1:5" ht="18.75" x14ac:dyDescent="0.3">
      <c r="A118" s="27" t="s">
        <v>560</v>
      </c>
      <c r="B118" s="28">
        <v>1300000</v>
      </c>
      <c r="C118" s="22">
        <f t="shared" si="3"/>
        <v>1154400</v>
      </c>
      <c r="D118" s="29">
        <f t="shared" si="2"/>
        <v>1443000</v>
      </c>
      <c r="E118" s="30"/>
    </row>
    <row r="119" spans="1:5" ht="18.75" x14ac:dyDescent="0.3">
      <c r="A119" s="27" t="s">
        <v>438</v>
      </c>
      <c r="B119" s="28">
        <v>338000</v>
      </c>
      <c r="C119" s="22">
        <f t="shared" si="3"/>
        <v>300144</v>
      </c>
      <c r="D119" s="29">
        <f t="shared" si="2"/>
        <v>375180</v>
      </c>
      <c r="E119" s="30"/>
    </row>
    <row r="120" spans="1:5" ht="18.75" x14ac:dyDescent="0.3">
      <c r="A120" s="27" t="s">
        <v>561</v>
      </c>
      <c r="B120" s="28">
        <v>830000</v>
      </c>
      <c r="C120" s="22">
        <f t="shared" si="3"/>
        <v>737040</v>
      </c>
      <c r="D120" s="29">
        <f t="shared" si="2"/>
        <v>921300</v>
      </c>
      <c r="E120" s="30"/>
    </row>
    <row r="121" spans="1:5" ht="18.75" x14ac:dyDescent="0.3">
      <c r="A121" s="27" t="s">
        <v>433</v>
      </c>
      <c r="B121" s="28">
        <v>177000</v>
      </c>
      <c r="C121" s="22">
        <f t="shared" si="3"/>
        <v>157176</v>
      </c>
      <c r="D121" s="29">
        <f t="shared" si="2"/>
        <v>196470</v>
      </c>
      <c r="E121" s="30"/>
    </row>
    <row r="122" spans="1:5" ht="18.75" x14ac:dyDescent="0.3">
      <c r="A122" s="27" t="s">
        <v>435</v>
      </c>
      <c r="B122" s="28">
        <v>192000</v>
      </c>
      <c r="C122" s="22">
        <f t="shared" si="3"/>
        <v>170496</v>
      </c>
      <c r="D122" s="29">
        <f t="shared" si="2"/>
        <v>213120</v>
      </c>
      <c r="E122" s="30"/>
    </row>
    <row r="123" spans="1:5" ht="18.75" x14ac:dyDescent="0.3">
      <c r="A123" s="27" t="s">
        <v>562</v>
      </c>
      <c r="B123" s="28"/>
      <c r="C123" s="22">
        <v>250000</v>
      </c>
      <c r="D123" s="29">
        <f t="shared" si="2"/>
        <v>0</v>
      </c>
      <c r="E123" s="30"/>
    </row>
    <row r="124" spans="1:5" ht="18.75" x14ac:dyDescent="0.3">
      <c r="A124" s="27" t="s">
        <v>563</v>
      </c>
      <c r="B124" s="28">
        <v>137000</v>
      </c>
      <c r="C124" s="22">
        <f t="shared" si="3"/>
        <v>121656</v>
      </c>
      <c r="D124" s="29">
        <f t="shared" si="2"/>
        <v>152070</v>
      </c>
      <c r="E124" s="30"/>
    </row>
    <row r="125" spans="1:5" ht="18.75" x14ac:dyDescent="0.3">
      <c r="A125" s="27" t="s">
        <v>564</v>
      </c>
      <c r="B125" s="28">
        <v>192000</v>
      </c>
      <c r="C125" s="22">
        <f t="shared" si="3"/>
        <v>170496</v>
      </c>
      <c r="D125" s="29">
        <f t="shared" si="2"/>
        <v>213120</v>
      </c>
      <c r="E125" s="30"/>
    </row>
    <row r="126" spans="1:5" ht="18.75" x14ac:dyDescent="0.3">
      <c r="A126" s="27" t="s">
        <v>443</v>
      </c>
      <c r="B126" s="28">
        <v>81000</v>
      </c>
      <c r="C126" s="22">
        <f t="shared" si="3"/>
        <v>71928</v>
      </c>
      <c r="D126" s="29">
        <f t="shared" si="2"/>
        <v>89910</v>
      </c>
      <c r="E126" s="30"/>
    </row>
    <row r="127" spans="1:5" ht="18.75" x14ac:dyDescent="0.3">
      <c r="A127" s="27" t="s">
        <v>447</v>
      </c>
      <c r="B127" s="28">
        <v>113000</v>
      </c>
      <c r="C127" s="22">
        <f t="shared" si="3"/>
        <v>100344</v>
      </c>
      <c r="D127" s="29">
        <f t="shared" si="2"/>
        <v>125430</v>
      </c>
      <c r="E127" s="30"/>
    </row>
    <row r="128" spans="1:5" ht="18.75" x14ac:dyDescent="0.3">
      <c r="A128" s="27" t="s">
        <v>449</v>
      </c>
      <c r="B128" s="28">
        <v>101000</v>
      </c>
      <c r="C128" s="22">
        <f t="shared" si="3"/>
        <v>89688</v>
      </c>
      <c r="D128" s="29">
        <f t="shared" si="2"/>
        <v>112110</v>
      </c>
      <c r="E128" s="30"/>
    </row>
    <row r="129" spans="1:5" ht="18.75" x14ac:dyDescent="0.3">
      <c r="A129" s="27" t="s">
        <v>565</v>
      </c>
      <c r="B129" s="28">
        <v>153000</v>
      </c>
      <c r="C129" s="22">
        <f>(B129-(20/100*B129))+11/100*(B129-(20/100*B129))</f>
        <v>135864</v>
      </c>
      <c r="D129" s="29">
        <f t="shared" si="2"/>
        <v>169830</v>
      </c>
      <c r="E129" s="30"/>
    </row>
    <row r="130" spans="1:5" ht="18.75" x14ac:dyDescent="0.3">
      <c r="A130" s="27" t="s">
        <v>566</v>
      </c>
      <c r="B130" s="28">
        <v>127000</v>
      </c>
      <c r="C130" s="22">
        <f>(B130-(20/100*B130))+11/100*(B130-(20/100*B130))</f>
        <v>112776</v>
      </c>
      <c r="D130" s="29">
        <f t="shared" si="2"/>
        <v>140970</v>
      </c>
      <c r="E130" s="30"/>
    </row>
    <row r="131" spans="1:5" ht="18.75" x14ac:dyDescent="0.3">
      <c r="A131" s="23" t="s">
        <v>450</v>
      </c>
      <c r="B131" s="28">
        <v>390000</v>
      </c>
      <c r="C131" s="22">
        <f t="shared" si="3"/>
        <v>346320</v>
      </c>
      <c r="D131" s="29">
        <f t="shared" si="2"/>
        <v>432900</v>
      </c>
      <c r="E131" s="30"/>
    </row>
    <row r="132" spans="1:5" ht="18.75" x14ac:dyDescent="0.3">
      <c r="A132" s="23" t="s">
        <v>567</v>
      </c>
      <c r="B132" s="28">
        <v>370000</v>
      </c>
      <c r="C132" s="22">
        <f t="shared" si="3"/>
        <v>328560</v>
      </c>
      <c r="D132" s="29">
        <f t="shared" si="2"/>
        <v>410700</v>
      </c>
      <c r="E132" s="30"/>
    </row>
    <row r="133" spans="1:5" ht="18.75" x14ac:dyDescent="0.3">
      <c r="A133" s="27" t="s">
        <v>451</v>
      </c>
      <c r="B133" s="28">
        <v>157000</v>
      </c>
      <c r="C133" s="22">
        <f t="shared" si="3"/>
        <v>139416</v>
      </c>
      <c r="D133" s="29">
        <f t="shared" ref="D133:D163" si="4">+B133+(11%*B133)</f>
        <v>174270</v>
      </c>
      <c r="E133" s="30"/>
    </row>
    <row r="134" spans="1:5" ht="18.75" x14ac:dyDescent="0.3">
      <c r="A134" s="27" t="s">
        <v>568</v>
      </c>
      <c r="B134" s="28">
        <v>280000</v>
      </c>
      <c r="C134" s="22">
        <f t="shared" si="3"/>
        <v>248640</v>
      </c>
      <c r="D134" s="29">
        <f t="shared" si="4"/>
        <v>310800</v>
      </c>
      <c r="E134" s="30"/>
    </row>
    <row r="135" spans="1:5" ht="18.75" x14ac:dyDescent="0.3">
      <c r="A135" s="27" t="s">
        <v>454</v>
      </c>
      <c r="B135" s="28">
        <v>435000</v>
      </c>
      <c r="C135" s="22">
        <f t="shared" si="3"/>
        <v>386280</v>
      </c>
      <c r="D135" s="29">
        <f t="shared" si="4"/>
        <v>482850</v>
      </c>
      <c r="E135" s="30"/>
    </row>
    <row r="136" spans="1:5" ht="18.75" x14ac:dyDescent="0.3">
      <c r="A136" s="27" t="s">
        <v>455</v>
      </c>
      <c r="B136" s="28">
        <v>580000</v>
      </c>
      <c r="C136" s="22">
        <f t="shared" si="3"/>
        <v>515040</v>
      </c>
      <c r="D136" s="29">
        <f t="shared" si="4"/>
        <v>643800</v>
      </c>
      <c r="E136" s="30"/>
    </row>
    <row r="137" spans="1:5" ht="18.75" x14ac:dyDescent="0.3">
      <c r="A137" s="27" t="s">
        <v>456</v>
      </c>
      <c r="B137" s="28">
        <v>600000</v>
      </c>
      <c r="C137" s="22">
        <f t="shared" si="3"/>
        <v>532800</v>
      </c>
      <c r="D137" s="29">
        <f t="shared" si="4"/>
        <v>666000</v>
      </c>
      <c r="E137" s="30"/>
    </row>
    <row r="138" spans="1:5" ht="18.75" x14ac:dyDescent="0.3">
      <c r="A138" s="23" t="s">
        <v>569</v>
      </c>
      <c r="B138" s="28">
        <v>450000</v>
      </c>
      <c r="C138" s="22">
        <f t="shared" si="3"/>
        <v>399600</v>
      </c>
      <c r="D138" s="29">
        <f t="shared" si="4"/>
        <v>499500</v>
      </c>
      <c r="E138" s="30"/>
    </row>
    <row r="139" spans="1:5" ht="18.75" x14ac:dyDescent="0.3">
      <c r="A139" s="27" t="s">
        <v>570</v>
      </c>
      <c r="B139" s="28">
        <v>630000</v>
      </c>
      <c r="C139" s="22">
        <f t="shared" si="3"/>
        <v>559440</v>
      </c>
      <c r="D139" s="29">
        <f t="shared" si="4"/>
        <v>699300</v>
      </c>
      <c r="E139" s="30"/>
    </row>
    <row r="140" spans="1:5" ht="18.75" x14ac:dyDescent="0.3">
      <c r="A140" s="27" t="s">
        <v>571</v>
      </c>
      <c r="B140" s="28">
        <v>840000</v>
      </c>
      <c r="C140" s="22">
        <f t="shared" si="3"/>
        <v>745920</v>
      </c>
      <c r="D140" s="29">
        <f t="shared" si="4"/>
        <v>932400</v>
      </c>
      <c r="E140" s="30"/>
    </row>
    <row r="141" spans="1:5" ht="18.75" x14ac:dyDescent="0.3">
      <c r="A141" s="27" t="s">
        <v>572</v>
      </c>
      <c r="B141" s="28">
        <v>450000</v>
      </c>
      <c r="C141" s="22">
        <f t="shared" si="3"/>
        <v>399600</v>
      </c>
      <c r="D141" s="29">
        <f t="shared" si="4"/>
        <v>499500</v>
      </c>
      <c r="E141" s="30"/>
    </row>
    <row r="142" spans="1:5" ht="18.75" x14ac:dyDescent="0.3">
      <c r="A142" s="27" t="s">
        <v>573</v>
      </c>
      <c r="B142" s="28">
        <v>575000</v>
      </c>
      <c r="C142" s="22">
        <f t="shared" si="3"/>
        <v>510600</v>
      </c>
      <c r="D142" s="29">
        <f t="shared" si="4"/>
        <v>638250</v>
      </c>
      <c r="E142" s="30"/>
    </row>
    <row r="143" spans="1:5" ht="18.75" x14ac:dyDescent="0.3">
      <c r="A143" s="27" t="s">
        <v>574</v>
      </c>
      <c r="B143" s="28">
        <v>635000</v>
      </c>
      <c r="C143" s="22">
        <f t="shared" si="3"/>
        <v>563880</v>
      </c>
      <c r="D143" s="29">
        <f t="shared" si="4"/>
        <v>704850</v>
      </c>
      <c r="E143" s="30"/>
    </row>
    <row r="144" spans="1:5" ht="18.75" x14ac:dyDescent="0.3">
      <c r="A144" s="27" t="s">
        <v>575</v>
      </c>
      <c r="B144" s="28">
        <v>450000</v>
      </c>
      <c r="C144" s="22">
        <f t="shared" si="3"/>
        <v>399600</v>
      </c>
      <c r="D144" s="29">
        <f t="shared" si="4"/>
        <v>499500</v>
      </c>
      <c r="E144" s="30"/>
    </row>
    <row r="145" spans="1:5" ht="18.75" x14ac:dyDescent="0.3">
      <c r="A145" s="27" t="s">
        <v>576</v>
      </c>
      <c r="B145" s="28">
        <v>570000</v>
      </c>
      <c r="C145" s="22">
        <f t="shared" si="3"/>
        <v>506160</v>
      </c>
      <c r="D145" s="29">
        <f t="shared" si="4"/>
        <v>632700</v>
      </c>
      <c r="E145" s="30"/>
    </row>
    <row r="146" spans="1:5" ht="18.75" x14ac:dyDescent="0.3">
      <c r="A146" s="27" t="s">
        <v>577</v>
      </c>
      <c r="B146" s="28">
        <v>590000</v>
      </c>
      <c r="C146" s="22">
        <f t="shared" si="3"/>
        <v>523920</v>
      </c>
      <c r="D146" s="29">
        <f t="shared" si="4"/>
        <v>654900</v>
      </c>
      <c r="E146" s="30"/>
    </row>
    <row r="147" spans="1:5" ht="18.75" x14ac:dyDescent="0.3">
      <c r="A147" s="27" t="s">
        <v>578</v>
      </c>
      <c r="B147" s="28">
        <v>790000</v>
      </c>
      <c r="C147" s="22">
        <f t="shared" si="3"/>
        <v>701520</v>
      </c>
      <c r="D147" s="29">
        <f t="shared" si="4"/>
        <v>876900</v>
      </c>
      <c r="E147" s="30"/>
    </row>
    <row r="148" spans="1:5" ht="18.75" x14ac:dyDescent="0.3">
      <c r="A148" s="23" t="s">
        <v>579</v>
      </c>
      <c r="B148" s="28">
        <v>850000</v>
      </c>
      <c r="C148" s="22">
        <f t="shared" si="3"/>
        <v>754800</v>
      </c>
      <c r="D148" s="29">
        <f t="shared" si="4"/>
        <v>943500</v>
      </c>
      <c r="E148" s="30"/>
    </row>
    <row r="149" spans="1:5" ht="18.75" x14ac:dyDescent="0.3">
      <c r="A149" s="27" t="s">
        <v>580</v>
      </c>
      <c r="B149" s="28">
        <v>1050000</v>
      </c>
      <c r="C149" s="22">
        <f t="shared" si="3"/>
        <v>932400</v>
      </c>
      <c r="D149" s="29">
        <f t="shared" si="4"/>
        <v>1165500</v>
      </c>
      <c r="E149" s="30"/>
    </row>
    <row r="150" spans="1:5" ht="18.75" x14ac:dyDescent="0.3">
      <c r="A150" s="23" t="s">
        <v>581</v>
      </c>
      <c r="B150" s="28">
        <v>1150000</v>
      </c>
      <c r="C150" s="22">
        <f t="shared" si="3"/>
        <v>1021200</v>
      </c>
      <c r="D150" s="29">
        <f t="shared" si="4"/>
        <v>1276500</v>
      </c>
      <c r="E150" s="30"/>
    </row>
    <row r="151" spans="1:5" ht="18.75" x14ac:dyDescent="0.3">
      <c r="A151" s="23" t="s">
        <v>582</v>
      </c>
      <c r="B151" s="28">
        <v>1350000</v>
      </c>
      <c r="C151" s="22">
        <f t="shared" si="3"/>
        <v>1198800</v>
      </c>
      <c r="D151" s="29">
        <f t="shared" si="4"/>
        <v>1498500</v>
      </c>
      <c r="E151" s="30"/>
    </row>
    <row r="152" spans="1:5" ht="18.75" x14ac:dyDescent="0.3">
      <c r="A152" s="23" t="s">
        <v>583</v>
      </c>
      <c r="B152" s="28">
        <v>610000</v>
      </c>
      <c r="C152" s="22">
        <f t="shared" si="3"/>
        <v>541680</v>
      </c>
      <c r="D152" s="29">
        <f t="shared" si="4"/>
        <v>677100</v>
      </c>
      <c r="E152" s="30"/>
    </row>
    <row r="153" spans="1:5" ht="18.75" x14ac:dyDescent="0.3">
      <c r="A153" s="23" t="s">
        <v>584</v>
      </c>
      <c r="B153" s="28">
        <v>725000</v>
      </c>
      <c r="C153" s="22">
        <f t="shared" si="3"/>
        <v>643800</v>
      </c>
      <c r="D153" s="29">
        <f t="shared" si="4"/>
        <v>804750</v>
      </c>
      <c r="E153" s="30"/>
    </row>
    <row r="154" spans="1:5" ht="18.75" x14ac:dyDescent="0.3">
      <c r="A154" s="23" t="s">
        <v>585</v>
      </c>
      <c r="B154" s="28"/>
      <c r="C154" s="22">
        <f t="shared" si="3"/>
        <v>0</v>
      </c>
      <c r="D154" s="29">
        <f t="shared" si="4"/>
        <v>0</v>
      </c>
      <c r="E154" s="30"/>
    </row>
    <row r="155" spans="1:5" ht="18.75" x14ac:dyDescent="0.3">
      <c r="A155" s="23" t="s">
        <v>586</v>
      </c>
      <c r="B155" s="28">
        <v>32000</v>
      </c>
      <c r="C155" s="22"/>
      <c r="D155" s="29">
        <f t="shared" si="4"/>
        <v>35520</v>
      </c>
      <c r="E155" s="30"/>
    </row>
    <row r="156" spans="1:5" ht="18.75" x14ac:dyDescent="0.3">
      <c r="A156" s="23" t="s">
        <v>587</v>
      </c>
      <c r="B156" s="28">
        <v>27000</v>
      </c>
      <c r="C156" s="22"/>
      <c r="D156" s="29">
        <f t="shared" si="4"/>
        <v>29970</v>
      </c>
      <c r="E156" s="30"/>
    </row>
    <row r="157" spans="1:5" ht="18.75" x14ac:dyDescent="0.3">
      <c r="A157" s="23" t="s">
        <v>588</v>
      </c>
      <c r="B157" s="28">
        <v>2250000</v>
      </c>
      <c r="C157" s="22">
        <f t="shared" si="3"/>
        <v>1998000</v>
      </c>
      <c r="D157" s="29">
        <f t="shared" si="4"/>
        <v>2497500</v>
      </c>
      <c r="E157" s="30"/>
    </row>
    <row r="158" spans="1:5" ht="18.75" x14ac:dyDescent="0.3">
      <c r="A158" s="23" t="s">
        <v>589</v>
      </c>
      <c r="B158" s="28">
        <v>2100000</v>
      </c>
      <c r="C158" s="22">
        <f t="shared" si="3"/>
        <v>1864800</v>
      </c>
      <c r="D158" s="29">
        <f t="shared" si="4"/>
        <v>2331000</v>
      </c>
      <c r="E158" s="30"/>
    </row>
    <row r="159" spans="1:5" ht="18.75" x14ac:dyDescent="0.3">
      <c r="A159" s="23" t="s">
        <v>590</v>
      </c>
      <c r="B159" s="28">
        <f>B33+B19</f>
        <v>160000</v>
      </c>
      <c r="C159" s="22">
        <f t="shared" si="3"/>
        <v>142080</v>
      </c>
      <c r="D159" s="29">
        <f t="shared" si="4"/>
        <v>177600</v>
      </c>
      <c r="E159" s="30"/>
    </row>
    <row r="160" spans="1:5" ht="18.75" x14ac:dyDescent="0.3">
      <c r="A160" s="23" t="s">
        <v>591</v>
      </c>
      <c r="B160" s="28">
        <f>B39+B19</f>
        <v>191000</v>
      </c>
      <c r="C160" s="22">
        <f t="shared" si="3"/>
        <v>169608</v>
      </c>
      <c r="D160" s="29">
        <f t="shared" si="4"/>
        <v>212010</v>
      </c>
      <c r="E160" s="30"/>
    </row>
    <row r="161" spans="1:5" ht="18.75" x14ac:dyDescent="0.3">
      <c r="A161" s="23" t="s">
        <v>592</v>
      </c>
      <c r="B161" s="28">
        <f>B35+B19</f>
        <v>158000</v>
      </c>
      <c r="C161" s="22">
        <f t="shared" si="3"/>
        <v>140304</v>
      </c>
      <c r="D161" s="29">
        <f t="shared" si="4"/>
        <v>175380</v>
      </c>
      <c r="E161" s="30"/>
    </row>
    <row r="162" spans="1:5" ht="18.75" x14ac:dyDescent="0.3">
      <c r="A162" s="23" t="s">
        <v>593</v>
      </c>
      <c r="B162" s="28">
        <f>B38+B19</f>
        <v>161000</v>
      </c>
      <c r="C162" s="22">
        <f t="shared" si="3"/>
        <v>142968</v>
      </c>
      <c r="D162" s="29">
        <f t="shared" si="4"/>
        <v>178710</v>
      </c>
      <c r="E162" s="30"/>
    </row>
    <row r="163" spans="1:5" ht="18.75" x14ac:dyDescent="0.3">
      <c r="A163" s="23" t="s">
        <v>594</v>
      </c>
      <c r="B163" s="28">
        <f>B66+140000</f>
        <v>319000</v>
      </c>
      <c r="C163" s="22">
        <f t="shared" si="3"/>
        <v>283272</v>
      </c>
      <c r="D163" s="29">
        <f t="shared" si="4"/>
        <v>354090</v>
      </c>
      <c r="E163" s="30"/>
    </row>
    <row r="164" spans="1:5" ht="18.75" x14ac:dyDescent="0.3">
      <c r="B164" s="31"/>
      <c r="C164" s="31"/>
      <c r="D164" s="31"/>
      <c r="E164" s="11"/>
    </row>
    <row r="165" spans="1:5" ht="18.75" x14ac:dyDescent="0.3">
      <c r="A165" s="10" t="s">
        <v>458</v>
      </c>
      <c r="B165" s="31"/>
      <c r="C165" s="32"/>
      <c r="D165" s="32"/>
      <c r="E165" s="14"/>
    </row>
    <row r="166" spans="1:5" ht="18.75" x14ac:dyDescent="0.3">
      <c r="A166" s="33" t="s">
        <v>595</v>
      </c>
      <c r="B166" s="31">
        <v>130000</v>
      </c>
      <c r="C166" s="32"/>
      <c r="D166" s="32"/>
      <c r="E166" s="14"/>
    </row>
    <row r="167" spans="1:5" ht="18.75" x14ac:dyDescent="0.3">
      <c r="A167" s="33" t="s">
        <v>596</v>
      </c>
      <c r="B167" s="31">
        <v>168000</v>
      </c>
      <c r="C167" s="32">
        <v>643800</v>
      </c>
      <c r="D167" s="32"/>
      <c r="E167" s="14"/>
    </row>
    <row r="168" spans="1:5" ht="18.75" x14ac:dyDescent="0.3">
      <c r="A168" s="33" t="s">
        <v>597</v>
      </c>
      <c r="B168" s="31">
        <v>365000</v>
      </c>
      <c r="C168" s="32">
        <v>248640</v>
      </c>
      <c r="D168" s="32"/>
      <c r="E168" s="14"/>
    </row>
    <row r="169" spans="1:5" ht="18.75" x14ac:dyDescent="0.3">
      <c r="A169" s="33" t="s">
        <v>598</v>
      </c>
      <c r="B169" s="31">
        <v>180000</v>
      </c>
      <c r="C169" s="32">
        <f>SUM(C167:C168)</f>
        <v>892440</v>
      </c>
      <c r="D169" s="32"/>
      <c r="E169" s="14"/>
    </row>
    <row r="170" spans="1:5" ht="18.75" x14ac:dyDescent="0.3">
      <c r="A170" s="33">
        <v>43147</v>
      </c>
      <c r="B170" s="31">
        <v>24750</v>
      </c>
      <c r="C170" s="32"/>
      <c r="D170" s="32"/>
      <c r="E170" s="14"/>
    </row>
    <row r="171" spans="1:5" ht="18.75" x14ac:dyDescent="0.3">
      <c r="A171" s="33">
        <v>43170</v>
      </c>
      <c r="B171" s="31">
        <v>31500</v>
      </c>
      <c r="C171" s="32"/>
      <c r="D171" s="32"/>
      <c r="E171" s="14"/>
    </row>
    <row r="172" spans="1:5" ht="18.75" x14ac:dyDescent="0.3">
      <c r="A172" s="33">
        <v>43230</v>
      </c>
      <c r="B172" s="31">
        <v>33750</v>
      </c>
      <c r="C172" s="32"/>
      <c r="D172" s="32"/>
      <c r="E172" s="14"/>
    </row>
    <row r="173" spans="1:5" ht="18.75" x14ac:dyDescent="0.3">
      <c r="A173" s="33">
        <v>64120</v>
      </c>
      <c r="B173" s="31">
        <v>44000</v>
      </c>
      <c r="C173" s="32"/>
      <c r="D173" s="32"/>
      <c r="E173" s="14"/>
    </row>
    <row r="174" spans="1:5" ht="18.75" x14ac:dyDescent="0.3">
      <c r="A174" s="33">
        <v>64170</v>
      </c>
      <c r="B174" s="31">
        <v>52000</v>
      </c>
      <c r="C174" s="32"/>
      <c r="D174" s="32"/>
      <c r="E174" s="14"/>
    </row>
    <row r="175" spans="1:5" ht="18.75" x14ac:dyDescent="0.3">
      <c r="A175" s="33">
        <v>64280</v>
      </c>
      <c r="B175" s="31">
        <v>60750</v>
      </c>
      <c r="C175" s="32"/>
      <c r="D175" s="32"/>
      <c r="E175" s="14"/>
    </row>
    <row r="176" spans="1:5" ht="18.75" x14ac:dyDescent="0.3">
      <c r="A176" s="33">
        <v>64330</v>
      </c>
      <c r="B176" s="31">
        <v>83000</v>
      </c>
      <c r="C176" s="32"/>
      <c r="D176" s="32"/>
      <c r="E176" s="14"/>
    </row>
    <row r="177" spans="1:5" ht="18.75" x14ac:dyDescent="0.3">
      <c r="A177" s="33">
        <v>86280</v>
      </c>
      <c r="B177" s="31">
        <v>135000</v>
      </c>
      <c r="C177" s="32"/>
      <c r="D177" s="32"/>
      <c r="E177" s="14"/>
    </row>
    <row r="178" spans="1:5" ht="18.75" x14ac:dyDescent="0.3">
      <c r="A178" s="33">
        <v>86340</v>
      </c>
      <c r="B178" s="31">
        <v>165000</v>
      </c>
      <c r="C178" s="32"/>
      <c r="D178" s="32"/>
      <c r="E178" s="14"/>
    </row>
    <row r="179" spans="1:5" ht="18.75" x14ac:dyDescent="0.3">
      <c r="A179" s="33" t="s">
        <v>599</v>
      </c>
      <c r="B179" s="31">
        <v>12500</v>
      </c>
      <c r="C179" s="32"/>
      <c r="D179" s="32"/>
      <c r="E179" s="14"/>
    </row>
    <row r="180" spans="1:5" ht="18.75" x14ac:dyDescent="0.3">
      <c r="A180" s="33" t="s">
        <v>600</v>
      </c>
      <c r="B180" s="31">
        <v>25000</v>
      </c>
      <c r="C180" s="32"/>
      <c r="D180" s="32"/>
      <c r="E180" s="14"/>
    </row>
    <row r="181" spans="1:5" ht="18.75" x14ac:dyDescent="0.3">
      <c r="A181" s="33" t="s">
        <v>601</v>
      </c>
      <c r="B181" s="31">
        <v>30000</v>
      </c>
      <c r="C181" s="32"/>
      <c r="D181" s="32"/>
      <c r="E181" s="14"/>
    </row>
    <row r="182" spans="1:5" ht="18.75" x14ac:dyDescent="0.3">
      <c r="A182" s="33" t="s">
        <v>602</v>
      </c>
      <c r="B182" s="31">
        <v>60000</v>
      </c>
      <c r="C182" s="32"/>
      <c r="D182" s="32"/>
      <c r="E182" s="14"/>
    </row>
    <row r="183" spans="1:5" ht="18.75" x14ac:dyDescent="0.3">
      <c r="A183" s="33" t="s">
        <v>603</v>
      </c>
      <c r="B183" s="31">
        <v>95000</v>
      </c>
      <c r="C183" s="32"/>
      <c r="D183" s="32"/>
      <c r="E183" s="14"/>
    </row>
    <row r="184" spans="1:5" ht="18.75" x14ac:dyDescent="0.3">
      <c r="A184" s="33"/>
      <c r="B184" s="31"/>
      <c r="C184" s="32"/>
      <c r="D184" s="32"/>
      <c r="E184" s="14"/>
    </row>
    <row r="185" spans="1:5" ht="18.75" x14ac:dyDescent="0.3">
      <c r="A185" s="33"/>
      <c r="B185" s="31"/>
      <c r="C185" s="32"/>
      <c r="D185" s="32"/>
      <c r="E185" s="14"/>
    </row>
    <row r="186" spans="1:5" ht="18.75" x14ac:dyDescent="0.3">
      <c r="A186" s="33"/>
      <c r="B186" s="31"/>
      <c r="C186" s="32"/>
      <c r="D186" s="32"/>
      <c r="E186" s="14"/>
    </row>
    <row r="187" spans="1:5" ht="18.75" x14ac:dyDescent="0.3">
      <c r="A187" s="33"/>
      <c r="B187" s="31"/>
      <c r="C187" s="32"/>
      <c r="D187" s="32"/>
      <c r="E187" s="14"/>
    </row>
    <row r="188" spans="1:5" ht="18.75" x14ac:dyDescent="0.3">
      <c r="A188" s="23" t="s">
        <v>510</v>
      </c>
      <c r="B188" s="31"/>
      <c r="C188" s="31" t="s">
        <v>604</v>
      </c>
      <c r="D188" s="31"/>
      <c r="E188" s="11"/>
    </row>
    <row r="189" spans="1:5" ht="18.75" x14ac:dyDescent="0.3">
      <c r="A189" s="23" t="s">
        <v>605</v>
      </c>
      <c r="B189" s="31">
        <v>9083</v>
      </c>
      <c r="C189" s="31">
        <f>B189-((10/100)*B189)-2.5/100*(B189-((10/100)*B189))</f>
        <v>7970.3324999999995</v>
      </c>
      <c r="D189" s="31">
        <v>12500</v>
      </c>
      <c r="E189" s="11">
        <f t="shared" ref="E189:E196" si="5">D189-C189</f>
        <v>4529.6675000000005</v>
      </c>
    </row>
    <row r="190" spans="1:5" ht="18.75" x14ac:dyDescent="0.3">
      <c r="A190" s="23" t="s">
        <v>606</v>
      </c>
      <c r="B190" s="31">
        <v>90000</v>
      </c>
      <c r="C190" s="31">
        <f>B190-((10/100)*B190)-2.5/100*(B190-((10/100)*B190))</f>
        <v>78975</v>
      </c>
      <c r="D190" s="31">
        <v>95000</v>
      </c>
      <c r="E190" s="11">
        <f t="shared" si="5"/>
        <v>16025</v>
      </c>
    </row>
    <row r="191" spans="1:5" ht="18.75" x14ac:dyDescent="0.3">
      <c r="A191" s="23" t="s">
        <v>607</v>
      </c>
      <c r="B191" s="31">
        <v>68000</v>
      </c>
      <c r="C191" s="31">
        <f>B191-((10/100)*B191)-2.5/100*(B191-((10/100)*B191))</f>
        <v>59670</v>
      </c>
      <c r="D191" s="31">
        <v>75000</v>
      </c>
      <c r="E191" s="11">
        <f t="shared" si="5"/>
        <v>15330</v>
      </c>
    </row>
    <row r="192" spans="1:5" ht="18.75" x14ac:dyDescent="0.3">
      <c r="A192" s="23" t="s">
        <v>608</v>
      </c>
      <c r="B192" s="31">
        <v>55500</v>
      </c>
      <c r="C192" s="31">
        <f>B192-((10/100)*B192)-2.5/100*(B192-((10/100)*B192))</f>
        <v>48701.25</v>
      </c>
      <c r="D192" s="31">
        <v>64000</v>
      </c>
      <c r="E192" s="11">
        <f t="shared" si="5"/>
        <v>15298.75</v>
      </c>
    </row>
    <row r="193" spans="1:5" ht="18.75" x14ac:dyDescent="0.3">
      <c r="B193" s="31"/>
      <c r="C193" s="31">
        <f>B193-((10/100)*B193)-2.5/100*(B193-((10/100)*B193))</f>
        <v>0</v>
      </c>
      <c r="D193" s="31"/>
      <c r="E193" s="11">
        <f t="shared" si="5"/>
        <v>0</v>
      </c>
    </row>
    <row r="194" spans="1:5" ht="18.75" x14ac:dyDescent="0.3">
      <c r="A194" s="23" t="s">
        <v>609</v>
      </c>
      <c r="B194" s="31"/>
      <c r="C194" s="31"/>
      <c r="D194" s="31"/>
      <c r="E194" s="11">
        <f t="shared" si="5"/>
        <v>0</v>
      </c>
    </row>
    <row r="195" spans="1:5" ht="18.75" x14ac:dyDescent="0.3">
      <c r="A195" s="23" t="s">
        <v>610</v>
      </c>
      <c r="B195" s="31"/>
      <c r="C195" s="31">
        <v>12765</v>
      </c>
      <c r="D195" s="31">
        <v>19500</v>
      </c>
      <c r="E195" s="11">
        <f t="shared" si="5"/>
        <v>6735</v>
      </c>
    </row>
    <row r="196" spans="1:5" ht="18.75" x14ac:dyDescent="0.3">
      <c r="A196" s="27" t="s">
        <v>117</v>
      </c>
      <c r="B196" s="31"/>
      <c r="C196" s="31">
        <v>130500</v>
      </c>
      <c r="D196" s="31">
        <v>159000</v>
      </c>
      <c r="E196" s="11">
        <f t="shared" si="5"/>
        <v>28500</v>
      </c>
    </row>
    <row r="197" spans="1:5" ht="18.75" x14ac:dyDescent="0.3">
      <c r="A197" s="23"/>
      <c r="B197" s="31"/>
      <c r="C197" s="31"/>
      <c r="D197" s="31"/>
      <c r="E197" s="11"/>
    </row>
    <row r="198" spans="1:5" ht="18.75" x14ac:dyDescent="0.3">
      <c r="A198" s="23"/>
      <c r="B198" s="31"/>
      <c r="C198" s="31"/>
      <c r="D198" s="31"/>
      <c r="E198" s="11"/>
    </row>
    <row r="199" spans="1:5" ht="18.75" x14ac:dyDescent="0.3">
      <c r="A199" s="23"/>
      <c r="B199" s="31"/>
      <c r="C199" s="31"/>
      <c r="D199" s="31"/>
      <c r="E199" s="11"/>
    </row>
    <row r="200" spans="1:5" ht="18.75" x14ac:dyDescent="0.3">
      <c r="B200" s="31"/>
      <c r="C200" s="31"/>
      <c r="D200" s="31"/>
      <c r="E200" s="11"/>
    </row>
    <row r="201" spans="1:5" ht="24" x14ac:dyDescent="0.4">
      <c r="A201" s="12" t="s">
        <v>472</v>
      </c>
      <c r="B201" s="3" t="s">
        <v>611</v>
      </c>
      <c r="C201" s="4"/>
      <c r="D201" s="4"/>
      <c r="E201" s="14"/>
    </row>
    <row r="202" spans="1:5" ht="18.75" x14ac:dyDescent="0.3">
      <c r="A202" s="6" t="s">
        <v>473</v>
      </c>
      <c r="B202" s="7"/>
      <c r="C202" s="8">
        <v>15261</v>
      </c>
      <c r="D202" s="8">
        <v>25500</v>
      </c>
      <c r="E202" s="14"/>
    </row>
    <row r="203" spans="1:5" ht="18.75" x14ac:dyDescent="0.3">
      <c r="A203" s="6" t="s">
        <v>612</v>
      </c>
      <c r="B203" s="7"/>
      <c r="C203" s="8">
        <v>28101</v>
      </c>
      <c r="D203" s="8">
        <v>43000</v>
      </c>
      <c r="E203" s="14"/>
    </row>
    <row r="204" spans="1:5" ht="18.75" x14ac:dyDescent="0.3">
      <c r="A204" s="6" t="s">
        <v>613</v>
      </c>
      <c r="B204" s="7"/>
      <c r="C204" s="8">
        <v>43282</v>
      </c>
      <c r="D204" s="8">
        <v>65000</v>
      </c>
      <c r="E204" s="14"/>
    </row>
    <row r="205" spans="1:5" ht="18.75" x14ac:dyDescent="0.3">
      <c r="A205" s="6" t="s">
        <v>614</v>
      </c>
      <c r="B205" s="7"/>
      <c r="C205" s="8">
        <v>67992</v>
      </c>
      <c r="D205" s="8">
        <v>91000</v>
      </c>
      <c r="E205" s="14"/>
    </row>
    <row r="206" spans="1:5" ht="18.75" x14ac:dyDescent="0.3">
      <c r="A206" s="6" t="s">
        <v>478</v>
      </c>
      <c r="B206" s="7"/>
      <c r="C206" s="8">
        <v>13163</v>
      </c>
      <c r="D206" s="8">
        <v>23500</v>
      </c>
      <c r="E206" s="14"/>
    </row>
    <row r="207" spans="1:5" ht="18.75" x14ac:dyDescent="0.3">
      <c r="A207" s="6" t="s">
        <v>479</v>
      </c>
      <c r="B207" s="7"/>
      <c r="C207" s="8">
        <v>71060</v>
      </c>
      <c r="D207" s="8">
        <v>87000</v>
      </c>
      <c r="E207" s="14"/>
    </row>
    <row r="208" spans="1:5" ht="18.75" x14ac:dyDescent="0.3">
      <c r="A208" s="6" t="s">
        <v>480</v>
      </c>
      <c r="B208" s="7"/>
      <c r="C208" s="8">
        <v>55717</v>
      </c>
      <c r="D208" s="8">
        <v>76000</v>
      </c>
      <c r="E208" s="14"/>
    </row>
    <row r="209" spans="1:5" ht="18.75" x14ac:dyDescent="0.3">
      <c r="A209" s="34" t="s">
        <v>482</v>
      </c>
      <c r="B209" s="35"/>
      <c r="C209" s="36">
        <v>60401</v>
      </c>
      <c r="D209" s="36">
        <v>78500</v>
      </c>
      <c r="E209" s="14"/>
    </row>
    <row r="210" spans="1:5" ht="18.75" x14ac:dyDescent="0.3">
      <c r="A210" s="6" t="s">
        <v>615</v>
      </c>
      <c r="B210" s="37"/>
      <c r="C210" s="37">
        <v>19703</v>
      </c>
      <c r="D210" s="37">
        <v>35000</v>
      </c>
      <c r="E210" s="38"/>
    </row>
    <row r="211" spans="1:5" x14ac:dyDescent="0.25">
      <c r="B211" s="32"/>
      <c r="C211" s="32"/>
      <c r="D211" s="32"/>
      <c r="E211" s="14"/>
    </row>
    <row r="212" spans="1:5" ht="24" x14ac:dyDescent="0.4">
      <c r="A212" s="12" t="s">
        <v>484</v>
      </c>
      <c r="B212" s="3"/>
      <c r="C212" s="4"/>
      <c r="D212" s="4"/>
      <c r="E212" s="14"/>
    </row>
    <row r="213" spans="1:5" ht="18.75" x14ac:dyDescent="0.3">
      <c r="A213" s="6" t="s">
        <v>488</v>
      </c>
      <c r="B213" s="7"/>
      <c r="C213" s="8">
        <v>26000</v>
      </c>
      <c r="D213" s="8">
        <v>38000</v>
      </c>
      <c r="E213" s="14"/>
    </row>
    <row r="214" spans="1:5" ht="18.75" x14ac:dyDescent="0.3">
      <c r="A214" s="6" t="s">
        <v>616</v>
      </c>
      <c r="B214" s="7"/>
      <c r="C214" s="8">
        <v>10935</v>
      </c>
      <c r="D214" s="8">
        <v>14600</v>
      </c>
      <c r="E214" s="14"/>
    </row>
    <row r="215" spans="1:5" ht="18.75" x14ac:dyDescent="0.3">
      <c r="A215" s="6" t="s">
        <v>617</v>
      </c>
      <c r="B215" s="7"/>
      <c r="C215" s="8">
        <v>10733</v>
      </c>
      <c r="D215" s="8">
        <v>16200</v>
      </c>
      <c r="E215" s="11"/>
    </row>
    <row r="216" spans="1:5" ht="18.75" x14ac:dyDescent="0.3">
      <c r="A216" s="10" t="s">
        <v>618</v>
      </c>
      <c r="B216" s="13"/>
      <c r="C216" s="11">
        <v>4219</v>
      </c>
      <c r="D216" s="11">
        <v>7300</v>
      </c>
      <c r="E216" s="11"/>
    </row>
    <row r="217" spans="1:5" ht="18.75" x14ac:dyDescent="0.3">
      <c r="A217" s="10" t="s">
        <v>619</v>
      </c>
      <c r="B217" s="13"/>
      <c r="C217" s="11">
        <v>17496</v>
      </c>
      <c r="D217" s="11">
        <v>33000</v>
      </c>
      <c r="E217" s="11"/>
    </row>
    <row r="218" spans="1:5" ht="18.75" x14ac:dyDescent="0.3">
      <c r="A218" s="10" t="s">
        <v>620</v>
      </c>
      <c r="B218" s="13"/>
      <c r="C218" s="11">
        <v>19440</v>
      </c>
      <c r="D218" s="11">
        <v>35000</v>
      </c>
      <c r="E218" s="11"/>
    </row>
    <row r="219" spans="1:5" ht="18.75" x14ac:dyDescent="0.3">
      <c r="A219" s="10" t="s">
        <v>621</v>
      </c>
      <c r="B219" s="13"/>
      <c r="C219" s="11">
        <v>21384</v>
      </c>
      <c r="D219" s="11"/>
      <c r="E219" s="11"/>
    </row>
    <row r="220" spans="1:5" ht="18.75" x14ac:dyDescent="0.3">
      <c r="A220" s="10" t="s">
        <v>622</v>
      </c>
      <c r="B220" s="13"/>
      <c r="C220" s="11">
        <v>24624</v>
      </c>
      <c r="D220" s="11">
        <v>40000</v>
      </c>
      <c r="E220" s="11"/>
    </row>
    <row r="221" spans="1:5" ht="18.75" x14ac:dyDescent="0.3">
      <c r="A221" s="10"/>
      <c r="B221" s="13"/>
      <c r="C221" s="11"/>
      <c r="D221" s="11"/>
      <c r="E221" s="11"/>
    </row>
    <row r="222" spans="1:5" ht="18.75" x14ac:dyDescent="0.3">
      <c r="A222" s="9" t="s">
        <v>623</v>
      </c>
      <c r="B222" s="13"/>
      <c r="C222" s="11"/>
      <c r="D222" s="11"/>
      <c r="E222" s="11"/>
    </row>
    <row r="223" spans="1:5" ht="18.75" x14ac:dyDescent="0.3">
      <c r="A223" s="10" t="s">
        <v>610</v>
      </c>
      <c r="B223" s="13"/>
      <c r="C223" s="11">
        <v>12765</v>
      </c>
      <c r="D223" s="11">
        <v>19500</v>
      </c>
      <c r="E223" s="11"/>
    </row>
    <row r="224" spans="1:5" ht="18.75" x14ac:dyDescent="0.3">
      <c r="A224" s="10" t="s">
        <v>624</v>
      </c>
      <c r="B224" s="13"/>
      <c r="C224" s="11">
        <v>16250</v>
      </c>
      <c r="D224" s="11">
        <v>23000</v>
      </c>
      <c r="E224" s="11"/>
    </row>
    <row r="225" spans="1:5" ht="18.75" x14ac:dyDescent="0.3">
      <c r="A225" s="10" t="s">
        <v>625</v>
      </c>
      <c r="B225" s="13"/>
      <c r="C225" s="11">
        <v>32737</v>
      </c>
      <c r="D225" s="11">
        <v>49500</v>
      </c>
      <c r="E225" s="11"/>
    </row>
    <row r="226" spans="1:5" ht="18.75" x14ac:dyDescent="0.3">
      <c r="A226" s="10" t="s">
        <v>117</v>
      </c>
      <c r="B226" s="13">
        <v>174000</v>
      </c>
      <c r="C226" s="11">
        <v>130500</v>
      </c>
      <c r="D226" s="11"/>
      <c r="E226" s="11"/>
    </row>
    <row r="227" spans="1:5" ht="18.75" x14ac:dyDescent="0.3">
      <c r="A227" s="10" t="s">
        <v>626</v>
      </c>
      <c r="B227" s="13"/>
      <c r="C227" s="11">
        <v>8000</v>
      </c>
      <c r="D227" s="11">
        <v>13000</v>
      </c>
      <c r="E227" s="11"/>
    </row>
    <row r="228" spans="1:5" ht="18.75" x14ac:dyDescent="0.3">
      <c r="A228" s="10"/>
      <c r="B228" s="31"/>
      <c r="C228" s="31"/>
      <c r="D228" s="31"/>
      <c r="E228" s="11"/>
    </row>
    <row r="229" spans="1:5" ht="18.75" x14ac:dyDescent="0.3">
      <c r="A229" s="9" t="s">
        <v>493</v>
      </c>
      <c r="B229" s="31"/>
      <c r="C229" s="31"/>
      <c r="D229" s="31"/>
      <c r="E229" s="11"/>
    </row>
    <row r="230" spans="1:5" ht="24" x14ac:dyDescent="0.4">
      <c r="A230" s="12" t="s">
        <v>627</v>
      </c>
      <c r="B230" s="39"/>
      <c r="C230" s="39">
        <v>103665</v>
      </c>
      <c r="D230" s="39">
        <v>153000</v>
      </c>
      <c r="E230" s="40"/>
    </row>
    <row r="231" spans="1:5" ht="18.75" x14ac:dyDescent="0.3">
      <c r="A231" s="10" t="s">
        <v>628</v>
      </c>
      <c r="B231" s="31" t="s">
        <v>629</v>
      </c>
      <c r="C231" s="31">
        <v>5883</v>
      </c>
      <c r="D231" s="31">
        <v>11000</v>
      </c>
      <c r="E231" s="11"/>
    </row>
    <row r="232" spans="1:5" ht="18.75" x14ac:dyDescent="0.3">
      <c r="A232" s="10" t="s">
        <v>630</v>
      </c>
      <c r="B232" s="31" t="s">
        <v>631</v>
      </c>
      <c r="C232" s="41">
        <v>13875</v>
      </c>
      <c r="D232" s="31">
        <v>20000</v>
      </c>
      <c r="E232" s="11"/>
    </row>
    <row r="233" spans="1:5" ht="18.75" x14ac:dyDescent="0.3">
      <c r="A233" s="10" t="s">
        <v>632</v>
      </c>
      <c r="B233" s="31" t="s">
        <v>633</v>
      </c>
      <c r="C233" s="31"/>
      <c r="D233" s="31"/>
      <c r="E233" s="11"/>
    </row>
    <row r="234" spans="1:5" ht="18.75" x14ac:dyDescent="0.3">
      <c r="A234" s="10" t="s">
        <v>634</v>
      </c>
      <c r="B234" s="31" t="s">
        <v>635</v>
      </c>
      <c r="C234" s="41">
        <v>53280</v>
      </c>
      <c r="D234" s="31">
        <v>73000</v>
      </c>
      <c r="E234" s="11"/>
    </row>
    <row r="235" spans="1:5" ht="18.75" x14ac:dyDescent="0.3">
      <c r="A235" s="10" t="s">
        <v>636</v>
      </c>
      <c r="B235" s="31" t="s">
        <v>637</v>
      </c>
      <c r="C235" s="41">
        <v>35520</v>
      </c>
      <c r="D235" s="31">
        <v>51000</v>
      </c>
      <c r="E235" s="11"/>
    </row>
    <row r="236" spans="1:5" ht="18.75" x14ac:dyDescent="0.3">
      <c r="A236" s="10" t="s">
        <v>638</v>
      </c>
      <c r="B236" s="31" t="s">
        <v>639</v>
      </c>
      <c r="C236" s="41">
        <v>64380</v>
      </c>
      <c r="D236" s="31">
        <v>92000</v>
      </c>
      <c r="E236" s="11"/>
    </row>
    <row r="237" spans="1:5" ht="18.75" x14ac:dyDescent="0.3">
      <c r="A237" s="10" t="s">
        <v>640</v>
      </c>
      <c r="B237" s="31"/>
      <c r="C237" s="31">
        <f>57165+45000</f>
        <v>102165</v>
      </c>
      <c r="D237" s="31">
        <v>153000</v>
      </c>
      <c r="E237" s="11"/>
    </row>
    <row r="238" spans="1:5" ht="18.75" x14ac:dyDescent="0.3">
      <c r="A238" s="10" t="s">
        <v>504</v>
      </c>
      <c r="B238" s="31" t="s">
        <v>641</v>
      </c>
      <c r="C238" s="41">
        <v>3330</v>
      </c>
      <c r="D238" s="31">
        <v>4450</v>
      </c>
      <c r="E238" s="11"/>
    </row>
    <row r="239" spans="1:5" ht="18.75" x14ac:dyDescent="0.3">
      <c r="A239" s="10" t="s">
        <v>505</v>
      </c>
      <c r="B239" s="31" t="s">
        <v>642</v>
      </c>
      <c r="C239" s="41">
        <v>3163.5</v>
      </c>
      <c r="D239" s="31">
        <v>6450</v>
      </c>
      <c r="E239" s="11"/>
    </row>
    <row r="240" spans="1:5" ht="18.75" x14ac:dyDescent="0.3">
      <c r="A240" s="10" t="s">
        <v>506</v>
      </c>
      <c r="B240" s="31" t="s">
        <v>641</v>
      </c>
      <c r="C240" s="41">
        <v>3330</v>
      </c>
      <c r="D240" s="31">
        <v>6950</v>
      </c>
      <c r="E240" s="11"/>
    </row>
    <row r="241" spans="1:5" ht="18.75" x14ac:dyDescent="0.3">
      <c r="A241" s="10" t="s">
        <v>507</v>
      </c>
      <c r="B241" s="31" t="s">
        <v>643</v>
      </c>
      <c r="C241" s="41">
        <v>3441</v>
      </c>
      <c r="D241" s="31">
        <v>7450</v>
      </c>
      <c r="E241" s="11"/>
    </row>
    <row r="242" spans="1:5" ht="18.75" x14ac:dyDescent="0.3">
      <c r="A242" s="10" t="s">
        <v>644</v>
      </c>
      <c r="B242" s="31" t="s">
        <v>645</v>
      </c>
      <c r="C242" s="31">
        <v>4565</v>
      </c>
      <c r="D242" s="31">
        <v>7500</v>
      </c>
      <c r="E242" s="11"/>
    </row>
    <row r="243" spans="1:5" ht="18.75" x14ac:dyDescent="0.3">
      <c r="A243" s="10" t="s">
        <v>646</v>
      </c>
      <c r="B243" s="31" t="s">
        <v>647</v>
      </c>
      <c r="C243" s="31">
        <v>4620</v>
      </c>
      <c r="D243" s="31">
        <v>8000</v>
      </c>
      <c r="E243" s="11"/>
    </row>
    <row r="244" spans="1:5" ht="18.75" x14ac:dyDescent="0.3">
      <c r="A244" s="10" t="s">
        <v>648</v>
      </c>
      <c r="B244" s="31" t="s">
        <v>649</v>
      </c>
      <c r="C244" s="31">
        <v>4675</v>
      </c>
      <c r="D244" s="31">
        <v>8500</v>
      </c>
      <c r="E244" s="11"/>
    </row>
    <row r="245" spans="1:5" ht="18.75" x14ac:dyDescent="0.3">
      <c r="A245" s="10" t="s">
        <v>650</v>
      </c>
      <c r="B245" s="31" t="s">
        <v>651</v>
      </c>
      <c r="C245" s="31">
        <v>4730</v>
      </c>
      <c r="D245" s="31">
        <v>9000</v>
      </c>
      <c r="E245" s="11"/>
    </row>
    <row r="246" spans="1:5" ht="18.75" x14ac:dyDescent="0.3">
      <c r="A246" s="10" t="s">
        <v>652</v>
      </c>
      <c r="B246" s="31" t="s">
        <v>653</v>
      </c>
      <c r="C246" s="31">
        <v>172050</v>
      </c>
      <c r="D246" s="31">
        <v>198600</v>
      </c>
      <c r="E246" s="11"/>
    </row>
    <row r="247" spans="1:5" ht="18.75" x14ac:dyDescent="0.3">
      <c r="A247" s="10" t="s">
        <v>654</v>
      </c>
      <c r="B247" s="31" t="s">
        <v>655</v>
      </c>
      <c r="C247" s="31">
        <v>3552</v>
      </c>
      <c r="D247" s="31">
        <v>4850</v>
      </c>
      <c r="E247" s="11"/>
    </row>
    <row r="248" spans="1:5" ht="18.75" x14ac:dyDescent="0.3">
      <c r="A248" s="10" t="s">
        <v>656</v>
      </c>
      <c r="B248" s="31" t="s">
        <v>657</v>
      </c>
      <c r="C248" s="31">
        <v>15540</v>
      </c>
      <c r="D248" s="31">
        <v>29000</v>
      </c>
      <c r="E248" s="11"/>
    </row>
    <row r="249" spans="1:5" x14ac:dyDescent="0.25">
      <c r="B249" s="32"/>
      <c r="C249" s="32"/>
      <c r="D249" s="32"/>
      <c r="E249" s="14"/>
    </row>
    <row r="250" spans="1:5" ht="18.75" x14ac:dyDescent="0.3">
      <c r="A250" s="9" t="s">
        <v>658</v>
      </c>
      <c r="B250" s="32"/>
      <c r="C250" s="32"/>
      <c r="D250" s="32"/>
      <c r="E250" s="14"/>
    </row>
    <row r="251" spans="1:5" ht="18.75" x14ac:dyDescent="0.3">
      <c r="A251" s="10" t="s">
        <v>659</v>
      </c>
      <c r="B251" s="32"/>
      <c r="C251" s="32">
        <v>13500</v>
      </c>
      <c r="D251" s="32">
        <v>19000</v>
      </c>
      <c r="E251" s="14"/>
    </row>
    <row r="252" spans="1:5" ht="18.75" x14ac:dyDescent="0.3">
      <c r="A252" s="10" t="s">
        <v>660</v>
      </c>
      <c r="B252" s="32"/>
      <c r="C252" s="32">
        <v>34000</v>
      </c>
      <c r="D252" s="32">
        <v>55000</v>
      </c>
      <c r="E252" s="14"/>
    </row>
    <row r="253" spans="1:5" ht="18.75" x14ac:dyDescent="0.3">
      <c r="A253" s="10" t="s">
        <v>661</v>
      </c>
      <c r="B253" s="32"/>
      <c r="C253" s="32">
        <v>5500</v>
      </c>
      <c r="D253" s="32">
        <v>7500</v>
      </c>
      <c r="E253" s="14"/>
    </row>
    <row r="254" spans="1:5" ht="18.75" x14ac:dyDescent="0.3">
      <c r="A254" s="10" t="s">
        <v>662</v>
      </c>
      <c r="B254" s="32"/>
      <c r="C254" s="32">
        <v>1738</v>
      </c>
      <c r="D254" s="32"/>
      <c r="E254" s="14"/>
    </row>
    <row r="255" spans="1:5" ht="18.75" x14ac:dyDescent="0.3">
      <c r="A255" s="10" t="s">
        <v>663</v>
      </c>
      <c r="B255" s="32"/>
      <c r="C255" s="32">
        <v>9161</v>
      </c>
      <c r="D255" s="32">
        <v>14500</v>
      </c>
      <c r="E255" s="14"/>
    </row>
    <row r="256" spans="1:5" ht="18.75" x14ac:dyDescent="0.3">
      <c r="A256" s="10" t="s">
        <v>664</v>
      </c>
      <c r="B256" s="32"/>
      <c r="C256" s="32">
        <v>2625</v>
      </c>
      <c r="D256" s="32"/>
      <c r="E256" s="14"/>
    </row>
    <row r="257" spans="1:5" ht="18.75" x14ac:dyDescent="0.3">
      <c r="A257" s="10" t="s">
        <v>665</v>
      </c>
      <c r="B257" s="32"/>
      <c r="C257" s="32">
        <v>3557</v>
      </c>
      <c r="D257" s="32"/>
      <c r="E257" s="14"/>
    </row>
    <row r="258" spans="1:5" ht="18.75" x14ac:dyDescent="0.3">
      <c r="A258" s="10" t="s">
        <v>666</v>
      </c>
      <c r="B258" s="32"/>
      <c r="C258" s="32">
        <v>6353</v>
      </c>
      <c r="D258" s="32"/>
      <c r="E258" s="14"/>
    </row>
    <row r="259" spans="1:5" ht="18.75" x14ac:dyDescent="0.3">
      <c r="A259" s="10"/>
      <c r="B259" s="32"/>
      <c r="C259" s="32"/>
      <c r="D259" s="32"/>
      <c r="E259" s="14"/>
    </row>
    <row r="260" spans="1:5" ht="18.75" x14ac:dyDescent="0.3">
      <c r="A260" s="9" t="s">
        <v>667</v>
      </c>
      <c r="B260" s="32"/>
      <c r="C260" s="32"/>
      <c r="D260" s="32"/>
      <c r="E260" s="14"/>
    </row>
    <row r="261" spans="1:5" ht="18.75" x14ac:dyDescent="0.3">
      <c r="A261" s="10" t="s">
        <v>652</v>
      </c>
      <c r="B261" s="32" t="s">
        <v>668</v>
      </c>
      <c r="C261" s="32">
        <v>139364</v>
      </c>
      <c r="D261" s="32">
        <v>172000</v>
      </c>
      <c r="E261" s="14"/>
    </row>
    <row r="262" spans="1:5" ht="18.75" x14ac:dyDescent="0.3">
      <c r="A262" s="10" t="s">
        <v>669</v>
      </c>
      <c r="B262" s="32" t="s">
        <v>670</v>
      </c>
      <c r="C262" s="32">
        <v>145000</v>
      </c>
      <c r="D262" s="32">
        <v>180000</v>
      </c>
      <c r="E262" s="14"/>
    </row>
    <row r="263" spans="1:5" ht="18.75" x14ac:dyDescent="0.3">
      <c r="A263" s="10" t="s">
        <v>671</v>
      </c>
      <c r="B263" s="32" t="s">
        <v>672</v>
      </c>
      <c r="C263" s="32">
        <v>169103</v>
      </c>
      <c r="D263" s="32">
        <v>197000</v>
      </c>
      <c r="E263" s="14"/>
    </row>
    <row r="264" spans="1:5" ht="18.75" x14ac:dyDescent="0.3">
      <c r="A264" s="10"/>
      <c r="B264" s="32"/>
      <c r="C264" s="32"/>
      <c r="D264" s="32"/>
      <c r="E264" s="14"/>
    </row>
    <row r="265" spans="1:5" ht="18.75" x14ac:dyDescent="0.3">
      <c r="A265" s="9" t="s">
        <v>673</v>
      </c>
      <c r="B265" s="32"/>
      <c r="C265" s="32"/>
      <c r="D265" s="32"/>
      <c r="E265" s="14"/>
    </row>
    <row r="266" spans="1:5" ht="18.75" x14ac:dyDescent="0.3">
      <c r="A266" s="10" t="s">
        <v>674</v>
      </c>
      <c r="B266" s="32"/>
      <c r="C266" s="32">
        <v>95000</v>
      </c>
      <c r="D266" s="32">
        <v>135000</v>
      </c>
      <c r="E266" s="14"/>
    </row>
    <row r="267" spans="1:5" ht="18.75" x14ac:dyDescent="0.3">
      <c r="A267" s="10"/>
      <c r="B267" s="32"/>
      <c r="C267" s="32"/>
      <c r="D267" s="32"/>
      <c r="E267" s="14"/>
    </row>
    <row r="268" spans="1:5" ht="18.75" x14ac:dyDescent="0.3">
      <c r="A268" s="9" t="s">
        <v>675</v>
      </c>
      <c r="B268" s="31"/>
      <c r="C268" s="32"/>
      <c r="D268" s="32"/>
      <c r="E268" s="14"/>
    </row>
    <row r="269" spans="1:5" ht="18.75" x14ac:dyDescent="0.3">
      <c r="A269" s="10" t="s">
        <v>676</v>
      </c>
      <c r="B269" s="31" t="s">
        <v>677</v>
      </c>
      <c r="C269" s="32">
        <v>23520</v>
      </c>
      <c r="D269" s="32">
        <v>39950</v>
      </c>
      <c r="E269" s="14"/>
    </row>
    <row r="270" spans="1:5" ht="18.75" x14ac:dyDescent="0.3">
      <c r="A270" s="10" t="s">
        <v>678</v>
      </c>
      <c r="B270" s="31" t="s">
        <v>679</v>
      </c>
      <c r="C270" s="32">
        <v>44020</v>
      </c>
      <c r="D270" s="32">
        <v>61500</v>
      </c>
      <c r="E270" s="14"/>
    </row>
    <row r="271" spans="1:5" ht="18.75" x14ac:dyDescent="0.3">
      <c r="A271" s="10"/>
      <c r="B271" s="31"/>
      <c r="C271" s="32"/>
      <c r="D271" s="32"/>
      <c r="E271" s="14"/>
    </row>
    <row r="272" spans="1:5" ht="18.75" x14ac:dyDescent="0.3">
      <c r="A272" s="9" t="s">
        <v>470</v>
      </c>
      <c r="B272" s="31" t="s">
        <v>680</v>
      </c>
      <c r="C272" s="32"/>
      <c r="D272" s="32"/>
      <c r="E272" s="14"/>
    </row>
    <row r="273" spans="1:5" ht="18.75" x14ac:dyDescent="0.3">
      <c r="A273" s="10" t="s">
        <v>471</v>
      </c>
      <c r="B273" s="31">
        <v>30500</v>
      </c>
      <c r="C273" s="32">
        <v>24629</v>
      </c>
      <c r="D273" s="32">
        <v>43000</v>
      </c>
      <c r="E273" s="14"/>
    </row>
    <row r="274" spans="1:5" ht="18.75" x14ac:dyDescent="0.3">
      <c r="A274" s="10"/>
      <c r="B274" s="31"/>
      <c r="C274" s="32"/>
      <c r="D274" s="32"/>
      <c r="E274" s="14"/>
    </row>
    <row r="275" spans="1:5" ht="18.75" x14ac:dyDescent="0.3">
      <c r="A275" s="10" t="s">
        <v>681</v>
      </c>
      <c r="B275" s="31"/>
      <c r="C275" s="31"/>
      <c r="D275" s="31"/>
      <c r="E275" s="11"/>
    </row>
    <row r="276" spans="1:5" ht="18.75" x14ac:dyDescent="0.3">
      <c r="A276" s="10" t="s">
        <v>682</v>
      </c>
      <c r="B276">
        <v>53280</v>
      </c>
    </row>
    <row r="277" spans="1:5" ht="18.75" x14ac:dyDescent="0.3">
      <c r="A277" s="10" t="s">
        <v>683</v>
      </c>
      <c r="B277">
        <v>7500</v>
      </c>
    </row>
    <row r="278" spans="1:5" ht="18.75" x14ac:dyDescent="0.3">
      <c r="A278" s="10" t="s">
        <v>684</v>
      </c>
      <c r="B278">
        <v>3000</v>
      </c>
    </row>
    <row r="279" spans="1:5" ht="18.75" x14ac:dyDescent="0.3">
      <c r="A279" s="10" t="s">
        <v>685</v>
      </c>
      <c r="B279" s="32">
        <v>1138</v>
      </c>
      <c r="C279" s="32"/>
      <c r="D279" s="32"/>
      <c r="E279" s="14"/>
    </row>
    <row r="280" spans="1:5" x14ac:dyDescent="0.25">
      <c r="A280" t="s">
        <v>686</v>
      </c>
      <c r="B280" s="32">
        <v>1261</v>
      </c>
      <c r="C280" s="32"/>
      <c r="D280" s="32"/>
      <c r="E280" s="14"/>
    </row>
    <row r="281" spans="1:5" ht="18.75" x14ac:dyDescent="0.3">
      <c r="A281" s="10" t="s">
        <v>687</v>
      </c>
      <c r="B281" s="32">
        <v>1118</v>
      </c>
      <c r="C281" s="32"/>
      <c r="D281" s="32"/>
      <c r="E281" s="14"/>
    </row>
    <row r="282" spans="1:5" ht="18.75" x14ac:dyDescent="0.3">
      <c r="A282" s="10" t="s">
        <v>688</v>
      </c>
      <c r="B282" s="32">
        <v>726</v>
      </c>
      <c r="C282" s="32"/>
      <c r="D282" s="32"/>
      <c r="E282" s="14"/>
    </row>
    <row r="283" spans="1:5" ht="18.75" x14ac:dyDescent="0.3">
      <c r="A283" s="10" t="s">
        <v>689</v>
      </c>
      <c r="B283" s="32">
        <v>871</v>
      </c>
      <c r="C283" s="32"/>
      <c r="D283" s="32"/>
      <c r="E283" s="14"/>
    </row>
    <row r="284" spans="1:5" ht="18.75" x14ac:dyDescent="0.3">
      <c r="A284" s="10" t="s">
        <v>690</v>
      </c>
      <c r="B284" s="32">
        <v>2535</v>
      </c>
      <c r="C284" s="32"/>
      <c r="D284" s="32"/>
      <c r="E284" s="14"/>
    </row>
    <row r="285" spans="1:5" ht="18.75" x14ac:dyDescent="0.3">
      <c r="A285" s="10" t="s">
        <v>691</v>
      </c>
      <c r="B285" s="32">
        <v>1125</v>
      </c>
      <c r="C285" s="32"/>
      <c r="D285" s="32"/>
      <c r="E285" s="14"/>
    </row>
    <row r="286" spans="1:5" ht="18.75" x14ac:dyDescent="0.3">
      <c r="A286" s="10" t="s">
        <v>692</v>
      </c>
      <c r="B286" s="32">
        <v>358</v>
      </c>
      <c r="C286" s="32"/>
      <c r="D286" s="32"/>
      <c r="E286" s="14"/>
    </row>
    <row r="287" spans="1:5" ht="18.75" x14ac:dyDescent="0.3">
      <c r="B287" s="42">
        <f>SUM(B276:B286)</f>
        <v>72912</v>
      </c>
      <c r="C287" s="32"/>
      <c r="D287" s="32"/>
      <c r="E287" s="14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Tohka Chh</dc:creator>
  <cp:lastModifiedBy>Tohka Chh</cp:lastModifiedBy>
  <dcterms:created xsi:type="dcterms:W3CDTF">2026-09-24T01:52:57Z</dcterms:created>
  <dcterms:modified xsi:type="dcterms:W3CDTF">2026-09-24T02:11:10Z</dcterms:modified>
</cp:coreProperties>
</file>